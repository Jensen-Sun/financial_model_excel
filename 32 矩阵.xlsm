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y\Desktop\财务金融建模\"/>
    </mc:Choice>
  </mc:AlternateContent>
  <xr:revisionPtr revIDLastSave="0" documentId="13_ncr:1_{C5B8953B-01C0-49EA-BE02-899244B5456D}" xr6:coauthVersionLast="47" xr6:coauthVersionMax="47" xr10:uidLastSave="{00000000-0000-0000-0000-000000000000}"/>
  <bookViews>
    <workbookView xWindow="-98" yWindow="-98" windowWidth="24196" windowHeight="14476" tabRatio="692" xr2:uid="{59D5381A-4883-4C0A-90CF-0494BB393ECA}"/>
  </bookViews>
  <sheets>
    <sheet name="Sheet1" sheetId="2" r:id="rId1"/>
    <sheet name="Sheet2" sheetId="3" r:id="rId2"/>
    <sheet name="Sheet3" sheetId="4" r:id="rId3"/>
    <sheet name="Sheet4" sheetId="5" r:id="rId4"/>
    <sheet name="Sheet5" sheetId="6" r:id="rId5"/>
    <sheet name="Sheet6" sheetId="7" r:id="rId6"/>
    <sheet name="Sheet7" sheetId="8" r:id="rId7"/>
    <sheet name="Sheet8" sheetId="9" r:id="rId8"/>
    <sheet name="Sheet9" sheetId="10" r:id="rId9"/>
    <sheet name="Sheet10" sheetId="11" r:id="rId10"/>
    <sheet name="Sheet11" sheetId="12" r:id="rId11"/>
    <sheet name="Sheet12" sheetId="13" r:id="rId12"/>
    <sheet name="Sheet13" sheetId="14" r:id="rId13"/>
  </sheets>
  <functionGroups builtInGroupCount="19"/>
  <externalReferences>
    <externalReference r:id="rId14"/>
  </externalReferences>
  <definedNames>
    <definedName name="mu">Sheet3!#REF!</definedName>
    <definedName name="riskfree">Sheet3!#REF!</definedName>
    <definedName name="sigma">Sheet3!#REF!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4" l="1"/>
  <c r="C4" i="14"/>
  <c r="D4" i="14"/>
  <c r="E4" i="14"/>
  <c r="F4" i="14"/>
  <c r="G4" i="14"/>
  <c r="H4" i="14"/>
  <c r="I4" i="14"/>
  <c r="J4" i="14"/>
  <c r="K4" i="14"/>
  <c r="B5" i="14"/>
  <c r="C5" i="14"/>
  <c r="D5" i="14"/>
  <c r="E5" i="14"/>
  <c r="F5" i="14"/>
  <c r="G5" i="14"/>
  <c r="H5" i="14"/>
  <c r="I5" i="14"/>
  <c r="J5" i="14"/>
  <c r="K5" i="14"/>
  <c r="B6" i="14"/>
  <c r="C6" i="14"/>
  <c r="D6" i="14"/>
  <c r="E6" i="14"/>
  <c r="F6" i="14"/>
  <c r="G6" i="14"/>
  <c r="H6" i="14"/>
  <c r="I6" i="14"/>
  <c r="J6" i="14"/>
  <c r="K6" i="14"/>
  <c r="B7" i="14"/>
  <c r="C7" i="14"/>
  <c r="D7" i="14"/>
  <c r="E7" i="14"/>
  <c r="F7" i="14"/>
  <c r="G7" i="14"/>
  <c r="H7" i="14"/>
  <c r="I7" i="14"/>
  <c r="J7" i="14"/>
  <c r="K7" i="14"/>
  <c r="B8" i="14"/>
  <c r="C8" i="14"/>
  <c r="D8" i="14"/>
  <c r="E8" i="14"/>
  <c r="F8" i="14"/>
  <c r="G8" i="14"/>
  <c r="H8" i="14"/>
  <c r="I8" i="14"/>
  <c r="J8" i="14"/>
  <c r="K8" i="14"/>
  <c r="B9" i="14"/>
  <c r="C9" i="14"/>
  <c r="D9" i="14"/>
  <c r="E9" i="14"/>
  <c r="F9" i="14"/>
  <c r="G9" i="14"/>
  <c r="H9" i="14"/>
  <c r="I9" i="14"/>
  <c r="J9" i="14"/>
  <c r="K9" i="14"/>
  <c r="B10" i="14"/>
  <c r="C10" i="14"/>
  <c r="D10" i="14"/>
  <c r="E10" i="14"/>
  <c r="F10" i="14"/>
  <c r="G10" i="14"/>
  <c r="H10" i="14"/>
  <c r="I10" i="14"/>
  <c r="J10" i="14"/>
  <c r="K10" i="14"/>
  <c r="B11" i="14"/>
  <c r="C11" i="14"/>
  <c r="D11" i="14"/>
  <c r="E11" i="14"/>
  <c r="F11" i="14"/>
  <c r="G11" i="14"/>
  <c r="H11" i="14"/>
  <c r="I11" i="14"/>
  <c r="J11" i="14"/>
  <c r="K11" i="14"/>
  <c r="B12" i="14"/>
  <c r="C12" i="14"/>
  <c r="D12" i="14"/>
  <c r="E12" i="14"/>
  <c r="F12" i="14"/>
  <c r="G12" i="14"/>
  <c r="H12" i="14"/>
  <c r="I12" i="14"/>
  <c r="J12" i="14"/>
  <c r="K12" i="14"/>
  <c r="C3" i="14"/>
  <c r="D3" i="14"/>
  <c r="E3" i="14"/>
  <c r="F3" i="14"/>
  <c r="G3" i="14"/>
  <c r="H3" i="14"/>
  <c r="I3" i="14"/>
  <c r="J3" i="14"/>
  <c r="K3" i="14"/>
  <c r="B3" i="14"/>
  <c r="A12" i="14"/>
  <c r="A11" i="14"/>
  <c r="A10" i="14"/>
  <c r="A9" i="14"/>
  <c r="A8" i="14"/>
  <c r="A7" i="14"/>
  <c r="A6" i="14"/>
  <c r="A5" i="14"/>
  <c r="A4" i="14"/>
  <c r="A3" i="14"/>
  <c r="K2" i="14"/>
  <c r="J2" i="14"/>
  <c r="I2" i="14"/>
  <c r="H2" i="14"/>
  <c r="G2" i="14"/>
  <c r="F2" i="14"/>
  <c r="E2" i="14"/>
  <c r="D2" i="14"/>
  <c r="C2" i="14"/>
  <c r="B2" i="14"/>
  <c r="B5" i="10"/>
  <c r="C5" i="10"/>
  <c r="D5" i="10"/>
  <c r="E5" i="10"/>
  <c r="F5" i="10"/>
  <c r="G5" i="10"/>
  <c r="H5" i="10"/>
  <c r="I5" i="10"/>
  <c r="J5" i="10"/>
  <c r="K5" i="10"/>
  <c r="B6" i="10"/>
  <c r="C6" i="10"/>
  <c r="D6" i="10"/>
  <c r="E6" i="10"/>
  <c r="F6" i="10"/>
  <c r="G6" i="10"/>
  <c r="H6" i="10"/>
  <c r="I6" i="10"/>
  <c r="J6" i="10"/>
  <c r="K6" i="10"/>
  <c r="B7" i="10"/>
  <c r="C7" i="10"/>
  <c r="D7" i="10"/>
  <c r="E7" i="10"/>
  <c r="F7" i="10"/>
  <c r="G7" i="10"/>
  <c r="H7" i="10"/>
  <c r="I7" i="10"/>
  <c r="J7" i="10"/>
  <c r="K7" i="10"/>
  <c r="B8" i="10"/>
  <c r="C8" i="10"/>
  <c r="D8" i="10"/>
  <c r="E8" i="10"/>
  <c r="F8" i="10"/>
  <c r="G8" i="10"/>
  <c r="H8" i="10"/>
  <c r="I8" i="10"/>
  <c r="J8" i="10"/>
  <c r="K8" i="10"/>
  <c r="B9" i="10"/>
  <c r="C9" i="10"/>
  <c r="D9" i="10"/>
  <c r="E9" i="10"/>
  <c r="F9" i="10"/>
  <c r="G9" i="10"/>
  <c r="H9" i="10"/>
  <c r="I9" i="10"/>
  <c r="J9" i="10"/>
  <c r="K9" i="10"/>
  <c r="B10" i="10"/>
  <c r="C10" i="10"/>
  <c r="D10" i="10"/>
  <c r="E10" i="10"/>
  <c r="F10" i="10"/>
  <c r="G10" i="10"/>
  <c r="H10" i="10"/>
  <c r="I10" i="10"/>
  <c r="J10" i="10"/>
  <c r="K10" i="10"/>
  <c r="B11" i="10"/>
  <c r="C11" i="10"/>
  <c r="D11" i="10"/>
  <c r="E11" i="10"/>
  <c r="F11" i="10"/>
  <c r="G11" i="10"/>
  <c r="H11" i="10"/>
  <c r="I11" i="10"/>
  <c r="J11" i="10"/>
  <c r="K11" i="10"/>
  <c r="B12" i="10"/>
  <c r="C12" i="10"/>
  <c r="D12" i="10"/>
  <c r="E12" i="10"/>
  <c r="F12" i="10"/>
  <c r="G12" i="10"/>
  <c r="H12" i="10"/>
  <c r="I12" i="10"/>
  <c r="J12" i="10"/>
  <c r="K12" i="10"/>
  <c r="B13" i="10"/>
  <c r="C13" i="10"/>
  <c r="D13" i="10"/>
  <c r="E13" i="10"/>
  <c r="F13" i="10"/>
  <c r="G13" i="10"/>
  <c r="H13" i="10"/>
  <c r="I13" i="10"/>
  <c r="J13" i="10"/>
  <c r="K13" i="10"/>
  <c r="B14" i="10"/>
  <c r="C14" i="10"/>
  <c r="D14" i="10"/>
  <c r="E14" i="10"/>
  <c r="F14" i="10"/>
  <c r="G14" i="10"/>
  <c r="H14" i="10"/>
  <c r="I14" i="10"/>
  <c r="J14" i="10"/>
  <c r="K14" i="10"/>
  <c r="B15" i="10"/>
  <c r="C15" i="10"/>
  <c r="D15" i="10"/>
  <c r="E15" i="10"/>
  <c r="F15" i="10"/>
  <c r="G15" i="10"/>
  <c r="H15" i="10"/>
  <c r="I15" i="10"/>
  <c r="J15" i="10"/>
  <c r="K15" i="10"/>
  <c r="B16" i="10"/>
  <c r="C16" i="10"/>
  <c r="D16" i="10"/>
  <c r="E16" i="10"/>
  <c r="F16" i="10"/>
  <c r="G16" i="10"/>
  <c r="H16" i="10"/>
  <c r="I16" i="10"/>
  <c r="J16" i="10"/>
  <c r="K16" i="10"/>
  <c r="B17" i="10"/>
  <c r="C17" i="10"/>
  <c r="D17" i="10"/>
  <c r="E17" i="10"/>
  <c r="F17" i="10"/>
  <c r="G17" i="10"/>
  <c r="H17" i="10"/>
  <c r="I17" i="10"/>
  <c r="J17" i="10"/>
  <c r="K17" i="10"/>
  <c r="B18" i="10"/>
  <c r="C18" i="10"/>
  <c r="D18" i="10"/>
  <c r="E18" i="10"/>
  <c r="F18" i="10"/>
  <c r="G18" i="10"/>
  <c r="H18" i="10"/>
  <c r="I18" i="10"/>
  <c r="J18" i="10"/>
  <c r="K18" i="10"/>
  <c r="B19" i="10"/>
  <c r="C19" i="10"/>
  <c r="D19" i="10"/>
  <c r="E19" i="10"/>
  <c r="F19" i="10"/>
  <c r="G19" i="10"/>
  <c r="H19" i="10"/>
  <c r="I19" i="10"/>
  <c r="J19" i="10"/>
  <c r="K19" i="10"/>
  <c r="B20" i="10"/>
  <c r="C20" i="10"/>
  <c r="D20" i="10"/>
  <c r="E20" i="10"/>
  <c r="F20" i="10"/>
  <c r="G20" i="10"/>
  <c r="H20" i="10"/>
  <c r="I20" i="10"/>
  <c r="J20" i="10"/>
  <c r="K20" i="10"/>
  <c r="B21" i="10"/>
  <c r="C21" i="10"/>
  <c r="D21" i="10"/>
  <c r="E21" i="10"/>
  <c r="F21" i="10"/>
  <c r="G21" i="10"/>
  <c r="H21" i="10"/>
  <c r="I21" i="10"/>
  <c r="J21" i="10"/>
  <c r="K21" i="10"/>
  <c r="B22" i="10"/>
  <c r="C22" i="10"/>
  <c r="D22" i="10"/>
  <c r="E22" i="10"/>
  <c r="F22" i="10"/>
  <c r="G22" i="10"/>
  <c r="H22" i="10"/>
  <c r="I22" i="10"/>
  <c r="J22" i="10"/>
  <c r="K22" i="10"/>
  <c r="B23" i="10"/>
  <c r="C23" i="10"/>
  <c r="D23" i="10"/>
  <c r="E23" i="10"/>
  <c r="F23" i="10"/>
  <c r="G23" i="10"/>
  <c r="H23" i="10"/>
  <c r="I23" i="10"/>
  <c r="J23" i="10"/>
  <c r="K23" i="10"/>
  <c r="B24" i="10"/>
  <c r="C24" i="10"/>
  <c r="D24" i="10"/>
  <c r="E24" i="10"/>
  <c r="F24" i="10"/>
  <c r="G24" i="10"/>
  <c r="H24" i="10"/>
  <c r="I24" i="10"/>
  <c r="J24" i="10"/>
  <c r="K24" i="10"/>
  <c r="B25" i="10"/>
  <c r="C25" i="10"/>
  <c r="D25" i="10"/>
  <c r="E25" i="10"/>
  <c r="F25" i="10"/>
  <c r="G25" i="10"/>
  <c r="H25" i="10"/>
  <c r="I25" i="10"/>
  <c r="J25" i="10"/>
  <c r="K25" i="10"/>
  <c r="B26" i="10"/>
  <c r="C26" i="10"/>
  <c r="D26" i="10"/>
  <c r="E26" i="10"/>
  <c r="F26" i="10"/>
  <c r="G26" i="10"/>
  <c r="H26" i="10"/>
  <c r="I26" i="10"/>
  <c r="J26" i="10"/>
  <c r="K26" i="10"/>
  <c r="B27" i="10"/>
  <c r="C27" i="10"/>
  <c r="D27" i="10"/>
  <c r="E27" i="10"/>
  <c r="F27" i="10"/>
  <c r="G27" i="10"/>
  <c r="H27" i="10"/>
  <c r="I27" i="10"/>
  <c r="J27" i="10"/>
  <c r="K27" i="10"/>
  <c r="B28" i="10"/>
  <c r="C28" i="10"/>
  <c r="D28" i="10"/>
  <c r="E28" i="10"/>
  <c r="F28" i="10"/>
  <c r="G28" i="10"/>
  <c r="H28" i="10"/>
  <c r="I28" i="10"/>
  <c r="J28" i="10"/>
  <c r="K28" i="10"/>
  <c r="B29" i="10"/>
  <c r="C29" i="10"/>
  <c r="D29" i="10"/>
  <c r="E29" i="10"/>
  <c r="F29" i="10"/>
  <c r="G29" i="10"/>
  <c r="H29" i="10"/>
  <c r="I29" i="10"/>
  <c r="J29" i="10"/>
  <c r="K29" i="10"/>
  <c r="B30" i="10"/>
  <c r="C30" i="10"/>
  <c r="D30" i="10"/>
  <c r="E30" i="10"/>
  <c r="F30" i="10"/>
  <c r="G30" i="10"/>
  <c r="H30" i="10"/>
  <c r="I30" i="10"/>
  <c r="J30" i="10"/>
  <c r="K30" i="10"/>
  <c r="B31" i="10"/>
  <c r="C31" i="10"/>
  <c r="D31" i="10"/>
  <c r="E31" i="10"/>
  <c r="F31" i="10"/>
  <c r="G31" i="10"/>
  <c r="H31" i="10"/>
  <c r="I31" i="10"/>
  <c r="J31" i="10"/>
  <c r="K31" i="10"/>
  <c r="B32" i="10"/>
  <c r="C32" i="10"/>
  <c r="D32" i="10"/>
  <c r="E32" i="10"/>
  <c r="F32" i="10"/>
  <c r="G32" i="10"/>
  <c r="H32" i="10"/>
  <c r="I32" i="10"/>
  <c r="J32" i="10"/>
  <c r="K32" i="10"/>
  <c r="B33" i="10"/>
  <c r="C33" i="10"/>
  <c r="D33" i="10"/>
  <c r="E33" i="10"/>
  <c r="F33" i="10"/>
  <c r="G33" i="10"/>
  <c r="H33" i="10"/>
  <c r="I33" i="10"/>
  <c r="J33" i="10"/>
  <c r="K33" i="10"/>
  <c r="B34" i="10"/>
  <c r="C34" i="10"/>
  <c r="D34" i="10"/>
  <c r="E34" i="10"/>
  <c r="F34" i="10"/>
  <c r="G34" i="10"/>
  <c r="H34" i="10"/>
  <c r="I34" i="10"/>
  <c r="J34" i="10"/>
  <c r="K34" i="10"/>
  <c r="B35" i="10"/>
  <c r="C35" i="10"/>
  <c r="D35" i="10"/>
  <c r="E35" i="10"/>
  <c r="F35" i="10"/>
  <c r="G35" i="10"/>
  <c r="H35" i="10"/>
  <c r="I35" i="10"/>
  <c r="J35" i="10"/>
  <c r="K35" i="10"/>
  <c r="B36" i="10"/>
  <c r="C36" i="10"/>
  <c r="D36" i="10"/>
  <c r="E36" i="10"/>
  <c r="F36" i="10"/>
  <c r="G36" i="10"/>
  <c r="H36" i="10"/>
  <c r="I36" i="10"/>
  <c r="J36" i="10"/>
  <c r="K36" i="10"/>
  <c r="B37" i="10"/>
  <c r="C37" i="10"/>
  <c r="D37" i="10"/>
  <c r="E37" i="10"/>
  <c r="F37" i="10"/>
  <c r="G37" i="10"/>
  <c r="H37" i="10"/>
  <c r="I37" i="10"/>
  <c r="J37" i="10"/>
  <c r="K37" i="10"/>
  <c r="B38" i="10"/>
  <c r="C38" i="10"/>
  <c r="D38" i="10"/>
  <c r="E38" i="10"/>
  <c r="F38" i="10"/>
  <c r="G38" i="10"/>
  <c r="H38" i="10"/>
  <c r="I38" i="10"/>
  <c r="J38" i="10"/>
  <c r="K38" i="10"/>
  <c r="B39" i="10"/>
  <c r="C39" i="10"/>
  <c r="D39" i="10"/>
  <c r="E39" i="10"/>
  <c r="F39" i="10"/>
  <c r="G39" i="10"/>
  <c r="H39" i="10"/>
  <c r="I39" i="10"/>
  <c r="J39" i="10"/>
  <c r="K39" i="10"/>
  <c r="B40" i="10"/>
  <c r="C40" i="10"/>
  <c r="D40" i="10"/>
  <c r="E40" i="10"/>
  <c r="F40" i="10"/>
  <c r="G40" i="10"/>
  <c r="H40" i="10"/>
  <c r="I40" i="10"/>
  <c r="J40" i="10"/>
  <c r="K40" i="10"/>
  <c r="B41" i="10"/>
  <c r="C41" i="10"/>
  <c r="D41" i="10"/>
  <c r="E41" i="10"/>
  <c r="F41" i="10"/>
  <c r="G41" i="10"/>
  <c r="H41" i="10"/>
  <c r="I41" i="10"/>
  <c r="J41" i="10"/>
  <c r="K41" i="10"/>
  <c r="B42" i="10"/>
  <c r="C42" i="10"/>
  <c r="D42" i="10"/>
  <c r="E42" i="10"/>
  <c r="F42" i="10"/>
  <c r="G42" i="10"/>
  <c r="H42" i="10"/>
  <c r="I42" i="10"/>
  <c r="J42" i="10"/>
  <c r="K42" i="10"/>
  <c r="B43" i="10"/>
  <c r="C43" i="10"/>
  <c r="D43" i="10"/>
  <c r="E43" i="10"/>
  <c r="F43" i="10"/>
  <c r="G43" i="10"/>
  <c r="H43" i="10"/>
  <c r="I43" i="10"/>
  <c r="J43" i="10"/>
  <c r="K43" i="10"/>
  <c r="B44" i="10"/>
  <c r="C44" i="10"/>
  <c r="D44" i="10"/>
  <c r="E44" i="10"/>
  <c r="F44" i="10"/>
  <c r="G44" i="10"/>
  <c r="H44" i="10"/>
  <c r="I44" i="10"/>
  <c r="J44" i="10"/>
  <c r="K44" i="10"/>
  <c r="B45" i="10"/>
  <c r="C45" i="10"/>
  <c r="D45" i="10"/>
  <c r="E45" i="10"/>
  <c r="F45" i="10"/>
  <c r="G45" i="10"/>
  <c r="H45" i="10"/>
  <c r="I45" i="10"/>
  <c r="J45" i="10"/>
  <c r="K45" i="10"/>
  <c r="B46" i="10"/>
  <c r="C46" i="10"/>
  <c r="D46" i="10"/>
  <c r="E46" i="10"/>
  <c r="F46" i="10"/>
  <c r="G46" i="10"/>
  <c r="H46" i="10"/>
  <c r="I46" i="10"/>
  <c r="J46" i="10"/>
  <c r="K46" i="10"/>
  <c r="B47" i="10"/>
  <c r="C47" i="10"/>
  <c r="D47" i="10"/>
  <c r="E47" i="10"/>
  <c r="F47" i="10"/>
  <c r="G47" i="10"/>
  <c r="H47" i="10"/>
  <c r="I47" i="10"/>
  <c r="J47" i="10"/>
  <c r="K47" i="10"/>
  <c r="B48" i="10"/>
  <c r="C48" i="10"/>
  <c r="D48" i="10"/>
  <c r="E48" i="10"/>
  <c r="F48" i="10"/>
  <c r="G48" i="10"/>
  <c r="H48" i="10"/>
  <c r="I48" i="10"/>
  <c r="J48" i="10"/>
  <c r="K48" i="10"/>
  <c r="B49" i="10"/>
  <c r="C49" i="10"/>
  <c r="D49" i="10"/>
  <c r="E49" i="10"/>
  <c r="F49" i="10"/>
  <c r="G49" i="10"/>
  <c r="H49" i="10"/>
  <c r="I49" i="10"/>
  <c r="J49" i="10"/>
  <c r="K49" i="10"/>
  <c r="B50" i="10"/>
  <c r="C50" i="10"/>
  <c r="D50" i="10"/>
  <c r="E50" i="10"/>
  <c r="F50" i="10"/>
  <c r="G50" i="10"/>
  <c r="H50" i="10"/>
  <c r="I50" i="10"/>
  <c r="J50" i="10"/>
  <c r="K50" i="10"/>
  <c r="B51" i="10"/>
  <c r="C51" i="10"/>
  <c r="D51" i="10"/>
  <c r="E51" i="10"/>
  <c r="F51" i="10"/>
  <c r="G51" i="10"/>
  <c r="H51" i="10"/>
  <c r="I51" i="10"/>
  <c r="J51" i="10"/>
  <c r="K51" i="10"/>
  <c r="B52" i="10"/>
  <c r="C52" i="10"/>
  <c r="D52" i="10"/>
  <c r="E52" i="10"/>
  <c r="F52" i="10"/>
  <c r="G52" i="10"/>
  <c r="H52" i="10"/>
  <c r="I52" i="10"/>
  <c r="J52" i="10"/>
  <c r="K52" i="10"/>
  <c r="B53" i="10"/>
  <c r="C53" i="10"/>
  <c r="D53" i="10"/>
  <c r="E53" i="10"/>
  <c r="F53" i="10"/>
  <c r="G53" i="10"/>
  <c r="H53" i="10"/>
  <c r="I53" i="10"/>
  <c r="J53" i="10"/>
  <c r="K53" i="10"/>
  <c r="B54" i="10"/>
  <c r="C54" i="10"/>
  <c r="D54" i="10"/>
  <c r="E54" i="10"/>
  <c r="F54" i="10"/>
  <c r="G54" i="10"/>
  <c r="H54" i="10"/>
  <c r="I54" i="10"/>
  <c r="J54" i="10"/>
  <c r="K54" i="10"/>
  <c r="B55" i="10"/>
  <c r="C55" i="10"/>
  <c r="D55" i="10"/>
  <c r="E55" i="10"/>
  <c r="F55" i="10"/>
  <c r="G55" i="10"/>
  <c r="H55" i="10"/>
  <c r="I55" i="10"/>
  <c r="J55" i="10"/>
  <c r="K55" i="10"/>
  <c r="B56" i="10"/>
  <c r="C56" i="10"/>
  <c r="D56" i="10"/>
  <c r="E56" i="10"/>
  <c r="F56" i="10"/>
  <c r="G56" i="10"/>
  <c r="H56" i="10"/>
  <c r="I56" i="10"/>
  <c r="J56" i="10"/>
  <c r="K56" i="10"/>
  <c r="B57" i="10"/>
  <c r="C57" i="10"/>
  <c r="D57" i="10"/>
  <c r="E57" i="10"/>
  <c r="F57" i="10"/>
  <c r="G57" i="10"/>
  <c r="H57" i="10"/>
  <c r="I57" i="10"/>
  <c r="J57" i="10"/>
  <c r="K57" i="10"/>
  <c r="B58" i="10"/>
  <c r="C58" i="10"/>
  <c r="D58" i="10"/>
  <c r="E58" i="10"/>
  <c r="F58" i="10"/>
  <c r="G58" i="10"/>
  <c r="H58" i="10"/>
  <c r="I58" i="10"/>
  <c r="J58" i="10"/>
  <c r="K58" i="10"/>
  <c r="B59" i="10"/>
  <c r="C59" i="10"/>
  <c r="D59" i="10"/>
  <c r="E59" i="10"/>
  <c r="F59" i="10"/>
  <c r="G59" i="10"/>
  <c r="H59" i="10"/>
  <c r="I59" i="10"/>
  <c r="J59" i="10"/>
  <c r="K59" i="10"/>
  <c r="B60" i="10"/>
  <c r="C60" i="10"/>
  <c r="D60" i="10"/>
  <c r="E60" i="10"/>
  <c r="F60" i="10"/>
  <c r="G60" i="10"/>
  <c r="H60" i="10"/>
  <c r="I60" i="10"/>
  <c r="J60" i="10"/>
  <c r="K60" i="10"/>
  <c r="B61" i="10"/>
  <c r="C61" i="10"/>
  <c r="D61" i="10"/>
  <c r="E61" i="10"/>
  <c r="F61" i="10"/>
  <c r="G61" i="10"/>
  <c r="H61" i="10"/>
  <c r="I61" i="10"/>
  <c r="J61" i="10"/>
  <c r="K61" i="10"/>
  <c r="B62" i="10"/>
  <c r="C62" i="10"/>
  <c r="D62" i="10"/>
  <c r="E62" i="10"/>
  <c r="F62" i="10"/>
  <c r="G62" i="10"/>
  <c r="H62" i="10"/>
  <c r="I62" i="10"/>
  <c r="J62" i="10"/>
  <c r="K62" i="10"/>
  <c r="B63" i="10"/>
  <c r="C63" i="10"/>
  <c r="D63" i="10"/>
  <c r="E63" i="10"/>
  <c r="F63" i="10"/>
  <c r="G63" i="10"/>
  <c r="H63" i="10"/>
  <c r="I63" i="10"/>
  <c r="J63" i="10"/>
  <c r="K63" i="10"/>
  <c r="C4" i="10"/>
  <c r="D4" i="10"/>
  <c r="E4" i="10"/>
  <c r="F4" i="10"/>
  <c r="G4" i="10"/>
  <c r="H4" i="10"/>
  <c r="I4" i="10"/>
  <c r="J4" i="10"/>
  <c r="K4" i="10"/>
  <c r="B4" i="10"/>
  <c r="B27" i="14" a="1"/>
  <c r="B15" i="14" a="1"/>
  <c r="N3" i="14" a="1"/>
  <c r="A8" i="13" a="1"/>
  <c r="A1" i="13" a="1"/>
  <c r="B3" i="12" a="1"/>
  <c r="B3" i="11" a="1"/>
  <c r="C15" i="14"/>
  <c r="O3" i="14"/>
  <c r="D14" i="12"/>
  <c r="B28" i="14"/>
  <c r="B1" i="13"/>
  <c r="C14" i="11"/>
  <c r="A9" i="13"/>
  <c r="B27" i="14" l="1"/>
  <c r="B15" i="14"/>
  <c r="N3" i="14"/>
  <c r="A8" i="13"/>
  <c r="A1" i="13"/>
  <c r="G4" i="12"/>
  <c r="C6" i="12"/>
  <c r="I7" i="12"/>
  <c r="E9" i="12"/>
  <c r="K10" i="12"/>
  <c r="G12" i="12"/>
  <c r="F9" i="12"/>
  <c r="C3" i="12"/>
  <c r="E6" i="12"/>
  <c r="K7" i="12"/>
  <c r="G9" i="12"/>
  <c r="C11" i="12"/>
  <c r="J4" i="12"/>
  <c r="E3" i="12"/>
  <c r="G6" i="12"/>
  <c r="C8" i="12"/>
  <c r="I9" i="12"/>
  <c r="K12" i="12"/>
  <c r="B5" i="12"/>
  <c r="B4" i="12"/>
  <c r="J8" i="12"/>
  <c r="F10" i="12"/>
  <c r="C4" i="12"/>
  <c r="E7" i="12"/>
  <c r="K8" i="12"/>
  <c r="G10" i="12"/>
  <c r="C12" i="12"/>
  <c r="J5" i="12"/>
  <c r="K5" i="12"/>
  <c r="E12" i="12"/>
  <c r="B6" i="12"/>
  <c r="F12" i="12"/>
  <c r="B3" i="12"/>
  <c r="H4" i="12"/>
  <c r="D6" i="12"/>
  <c r="J7" i="12"/>
  <c r="B11" i="12"/>
  <c r="H12" i="12"/>
  <c r="I4" i="12"/>
  <c r="I12" i="12"/>
  <c r="D3" i="12"/>
  <c r="F6" i="12"/>
  <c r="B8" i="12"/>
  <c r="H9" i="12"/>
  <c r="D11" i="12"/>
  <c r="J12" i="12"/>
  <c r="K4" i="12"/>
  <c r="E11" i="12"/>
  <c r="F3" i="12"/>
  <c r="H6" i="12"/>
  <c r="D8" i="12"/>
  <c r="J9" i="12"/>
  <c r="F11" i="12"/>
  <c r="H5" i="12"/>
  <c r="F7" i="12"/>
  <c r="G7" i="12"/>
  <c r="H7" i="12"/>
  <c r="G3" i="12"/>
  <c r="C5" i="12"/>
  <c r="I6" i="12"/>
  <c r="E8" i="12"/>
  <c r="K9" i="12"/>
  <c r="G11" i="12"/>
  <c r="H3" i="12"/>
  <c r="D5" i="12"/>
  <c r="J6" i="12"/>
  <c r="F8" i="12"/>
  <c r="B10" i="12"/>
  <c r="H11" i="12"/>
  <c r="I3" i="12"/>
  <c r="E5" i="12"/>
  <c r="K6" i="12"/>
  <c r="G8" i="12"/>
  <c r="C10" i="12"/>
  <c r="I11" i="12"/>
  <c r="J3" i="12"/>
  <c r="F5" i="12"/>
  <c r="B7" i="12"/>
  <c r="H8" i="12"/>
  <c r="D10" i="12"/>
  <c r="J11" i="12"/>
  <c r="K3" i="12"/>
  <c r="G5" i="12"/>
  <c r="C7" i="12"/>
  <c r="I8" i="12"/>
  <c r="E10" i="12"/>
  <c r="K11" i="12"/>
  <c r="D7" i="12"/>
  <c r="B12" i="12"/>
  <c r="I5" i="12"/>
  <c r="D4" i="12"/>
  <c r="B9" i="12"/>
  <c r="H10" i="12"/>
  <c r="D12" i="12"/>
  <c r="E4" i="12"/>
  <c r="C9" i="12"/>
  <c r="I10" i="12"/>
  <c r="F4" i="12"/>
  <c r="D9" i="12"/>
  <c r="J10" i="12"/>
  <c r="G4" i="11"/>
  <c r="C6" i="11"/>
  <c r="I7" i="11"/>
  <c r="E9" i="11"/>
  <c r="K10" i="11"/>
  <c r="G12" i="11"/>
  <c r="D8" i="11"/>
  <c r="C5" i="11"/>
  <c r="H3" i="11"/>
  <c r="J6" i="11"/>
  <c r="F8" i="11"/>
  <c r="B10" i="11"/>
  <c r="H11" i="11"/>
  <c r="I3" i="11"/>
  <c r="K6" i="11"/>
  <c r="G8" i="11"/>
  <c r="C10" i="11"/>
  <c r="I11" i="11"/>
  <c r="F5" i="11"/>
  <c r="K3" i="11"/>
  <c r="G5" i="11"/>
  <c r="C7" i="11"/>
  <c r="I8" i="11"/>
  <c r="E10" i="11"/>
  <c r="K11" i="11"/>
  <c r="H5" i="11"/>
  <c r="D7" i="11"/>
  <c r="J8" i="11"/>
  <c r="F10" i="11"/>
  <c r="B12" i="11"/>
  <c r="I5" i="11"/>
  <c r="J5" i="11"/>
  <c r="E4" i="11"/>
  <c r="G7" i="11"/>
  <c r="C9" i="11"/>
  <c r="I10" i="11"/>
  <c r="E12" i="11"/>
  <c r="F4" i="11"/>
  <c r="H7" i="11"/>
  <c r="D9" i="11"/>
  <c r="J10" i="11"/>
  <c r="F12" i="11"/>
  <c r="B3" i="11"/>
  <c r="H4" i="11"/>
  <c r="D6" i="11"/>
  <c r="J7" i="11"/>
  <c r="F9" i="11"/>
  <c r="B11" i="11"/>
  <c r="H12" i="11"/>
  <c r="C3" i="11"/>
  <c r="I4" i="11"/>
  <c r="E6" i="11"/>
  <c r="K7" i="11"/>
  <c r="G9" i="11"/>
  <c r="C11" i="11"/>
  <c r="I12" i="11"/>
  <c r="D3" i="11"/>
  <c r="J4" i="11"/>
  <c r="F6" i="11"/>
  <c r="B8" i="11"/>
  <c r="H9" i="11"/>
  <c r="D11" i="11"/>
  <c r="J12" i="11"/>
  <c r="E3" i="11"/>
  <c r="K4" i="11"/>
  <c r="G6" i="11"/>
  <c r="C8" i="11"/>
  <c r="I9" i="11"/>
  <c r="E11" i="11"/>
  <c r="K12" i="11"/>
  <c r="F3" i="11"/>
  <c r="B5" i="11"/>
  <c r="H6" i="11"/>
  <c r="J9" i="11"/>
  <c r="F11" i="11"/>
  <c r="G3" i="11"/>
  <c r="I6" i="11"/>
  <c r="E8" i="11"/>
  <c r="K9" i="11"/>
  <c r="G11" i="11"/>
  <c r="D5" i="11"/>
  <c r="E5" i="11"/>
  <c r="J3" i="11"/>
  <c r="B7" i="11"/>
  <c r="H8" i="11"/>
  <c r="D10" i="11"/>
  <c r="J11" i="11"/>
  <c r="B4" i="11"/>
  <c r="C4" i="11"/>
  <c r="E7" i="11"/>
  <c r="K8" i="11"/>
  <c r="G10" i="11"/>
  <c r="C12" i="11"/>
  <c r="D4" i="11"/>
  <c r="F7" i="11"/>
  <c r="B9" i="11"/>
  <c r="H10" i="11"/>
  <c r="D12" i="11"/>
  <c r="K5" i="11"/>
  <c r="B6" i="11"/>
  <c r="B8" i="8" l="1" a="1"/>
  <c r="B8" i="8" s="1"/>
  <c r="G3" i="8" a="1"/>
  <c r="G3" i="8"/>
  <c r="G4" i="8"/>
  <c r="G5" i="8"/>
  <c r="A10" i="7" a="1"/>
  <c r="A10" i="7" s="1"/>
  <c r="D10" i="7"/>
  <c r="A11" i="7"/>
  <c r="B11" i="7"/>
  <c r="C11" i="7"/>
  <c r="D11" i="7"/>
  <c r="A12" i="7"/>
  <c r="B12" i="7"/>
  <c r="C12" i="7"/>
  <c r="D12" i="7"/>
  <c r="A13" i="7"/>
  <c r="B13" i="7"/>
  <c r="C13" i="7"/>
  <c r="D13" i="7"/>
  <c r="F3" i="7" a="1"/>
  <c r="F3" i="7" s="1"/>
  <c r="A9" i="7"/>
  <c r="A12" i="6" a="1"/>
  <c r="A12" i="6" s="1"/>
  <c r="A13" i="6"/>
  <c r="B13" i="6"/>
  <c r="C13" i="6"/>
  <c r="A7" i="6" a="1"/>
  <c r="A7" i="6"/>
  <c r="B7" i="6"/>
  <c r="C7" i="6"/>
  <c r="A8" i="6"/>
  <c r="B8" i="6"/>
  <c r="C8" i="6"/>
  <c r="F11" i="5" a="1"/>
  <c r="F11" i="5"/>
  <c r="G11" i="5"/>
  <c r="H11" i="5"/>
  <c r="F12" i="5"/>
  <c r="G12" i="5"/>
  <c r="H12" i="5"/>
  <c r="F13" i="5"/>
  <c r="G13" i="5"/>
  <c r="H13" i="5"/>
  <c r="F14" i="5"/>
  <c r="G14" i="5"/>
  <c r="H14" i="5"/>
  <c r="F3" i="5" a="1"/>
  <c r="F3" i="5" s="1"/>
  <c r="A8" i="5"/>
  <c r="G4" i="4"/>
  <c r="H4" i="4"/>
  <c r="G5" i="4"/>
  <c r="H5" i="4"/>
  <c r="G6" i="4"/>
  <c r="H6" i="4"/>
  <c r="G7" i="4"/>
  <c r="H7" i="4"/>
  <c r="H3" i="4"/>
  <c r="G3" i="4"/>
  <c r="B10" i="3"/>
  <c r="C10" i="3"/>
  <c r="D10" i="3"/>
  <c r="B11" i="3"/>
  <c r="C11" i="3"/>
  <c r="D11" i="3"/>
  <c r="C9" i="3"/>
  <c r="D9" i="3"/>
  <c r="B9" i="3"/>
  <c r="E9" i="3"/>
  <c r="H3" i="8"/>
  <c r="C9" i="8"/>
  <c r="I3" i="5"/>
  <c r="I3" i="4"/>
  <c r="J3" i="7"/>
  <c r="E10" i="7"/>
  <c r="I11" i="5"/>
  <c r="D7" i="6"/>
  <c r="B10" i="8" l="1"/>
  <c r="B9" i="8"/>
  <c r="C10" i="7"/>
  <c r="B10" i="7"/>
  <c r="G6" i="7"/>
  <c r="H6" i="7"/>
  <c r="F5" i="7"/>
  <c r="G4" i="7"/>
  <c r="I3" i="7"/>
  <c r="I6" i="7"/>
  <c r="H5" i="7"/>
  <c r="I4" i="7"/>
  <c r="F4" i="7"/>
  <c r="H3" i="7"/>
  <c r="F6" i="7"/>
  <c r="I5" i="7"/>
  <c r="G5" i="7"/>
  <c r="H4" i="7"/>
  <c r="G3" i="7"/>
  <c r="C12" i="6"/>
  <c r="B12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<sst xmlns="http://schemas.openxmlformats.org/spreadsheetml/2006/main" count="142" uniqueCount="55">
  <si>
    <t>MATRICES IN EXCEL</t>
  </si>
  <si>
    <t>Matrix A (a row vector)</t>
  </si>
  <si>
    <t>Matrix B (square 3 x 3 matrix)</t>
  </si>
  <si>
    <t>Matrix C
(column vector)</t>
  </si>
  <si>
    <t>Matrix D (a 4 x 3 matrix)</t>
  </si>
  <si>
    <t>MULTIPLYING A MATRIX BY A SCALAR</t>
  </si>
  <si>
    <t>Scalar</t>
  </si>
  <si>
    <t>Matrix B</t>
  </si>
  <si>
    <t>Scalar * Matrix B</t>
  </si>
  <si>
    <t>ADDITION OF MATRICES</t>
  </si>
  <si>
    <t>Matrix A</t>
  </si>
  <si>
    <t>Sum of A + B</t>
  </si>
  <si>
    <t>TRANSPOSITION OF MATRICES</t>
  </si>
  <si>
    <t>Matrix E</t>
  </si>
  <si>
    <r>
      <t>Transpose of E:  E</t>
    </r>
    <r>
      <rPr>
        <b/>
        <vertAlign val="superscript"/>
        <sz val="10"/>
        <rFont val="Arial"/>
        <family val="2"/>
      </rPr>
      <t>T</t>
    </r>
  </si>
  <si>
    <t>MULTIPLYING MATRICES</t>
  </si>
  <si>
    <t>Product AB</t>
    <phoneticPr fontId="18" type="noConversion"/>
  </si>
  <si>
    <t>Product BA</t>
    <phoneticPr fontId="18" type="noConversion"/>
  </si>
  <si>
    <r>
      <t>MATRIX INVERSE</t>
    </r>
    <r>
      <rPr>
        <b/>
        <sz val="12"/>
        <rFont val="Arial"/>
        <family val="2"/>
      </rPr>
      <t xml:space="preserve">
Use array function Minverse to compute the inverse of a square matrix</t>
    </r>
  </si>
  <si>
    <t>Inverse of A</t>
  </si>
  <si>
    <t>Verifying the inverse</t>
  </si>
  <si>
    <t>SOLVING SIMULTANEOUS EQUATIONS</t>
    <phoneticPr fontId="24" type="noConversion"/>
  </si>
  <si>
    <t>Matrix A of coefficients</t>
  </si>
  <si>
    <t>Column vector y</t>
  </si>
  <si>
    <r>
      <t>Solution
A</t>
    </r>
    <r>
      <rPr>
        <b/>
        <vertAlign val="superscript"/>
        <sz val="10"/>
        <rFont val="Arial"/>
        <family val="2"/>
      </rPr>
      <t>-1</t>
    </r>
    <r>
      <rPr>
        <b/>
        <sz val="10"/>
        <rFont val="Arial"/>
        <family val="2"/>
      </rPr>
      <t xml:space="preserve"> Y</t>
    </r>
  </si>
  <si>
    <t>Checking that the solution works</t>
  </si>
  <si>
    <t>FIVE YEARS OF PRICES FOR 10 STOCKS AND THE SP500</t>
  </si>
  <si>
    <t>McDonalds</t>
  </si>
  <si>
    <t>US Steel</t>
  </si>
  <si>
    <t>Arcelor-Mittal</t>
  </si>
  <si>
    <t>Microsoft</t>
  </si>
  <si>
    <t>Apple</t>
  </si>
  <si>
    <t>Kellogg</t>
  </si>
  <si>
    <t>General Electric</t>
  </si>
  <si>
    <t>Bank of America</t>
  </si>
  <si>
    <t>Pfizer</t>
  </si>
  <si>
    <t>Exxon</t>
  </si>
  <si>
    <t>S&amp;P500</t>
  </si>
  <si>
    <t>Date</t>
  </si>
  <si>
    <t>MCD</t>
  </si>
  <si>
    <t>X</t>
  </si>
  <si>
    <t>MT</t>
  </si>
  <si>
    <t>MSFT</t>
  </si>
  <si>
    <t>AAPL</t>
  </si>
  <si>
    <t>K</t>
  </si>
  <si>
    <t>GE</t>
  </si>
  <si>
    <t>BAC</t>
  </si>
  <si>
    <t>PFE</t>
  </si>
  <si>
    <t>XOM</t>
  </si>
  <si>
    <t>^GSPC</t>
  </si>
  <si>
    <t>FIVE YEARS OF RETURNS FOR 10 STOCKS</t>
  </si>
  <si>
    <t>VARIANCE-COVARIANCE MATRIX FOR 10 STOCKS</t>
  </si>
  <si>
    <t>CORRELATION MATRIX FOR 10 STOCKS</t>
  </si>
  <si>
    <t>COMPUTING THE GLOBAL MINIMUM VARIANCE PORTFOLIO (GMVP)</t>
  </si>
  <si>
    <t>GMVP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</si>
</sst>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"/>
    <numFmt numFmtId="177" formatCode="#,##0.0000_ "/>
    <numFmt numFmtId="178" formatCode="[$-409]d\-mmm\-yy;@"/>
    <numFmt numFmtId="179" formatCode="#,##0.0000"/>
  </numFmts>
  <fonts count="2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b/>
      <sz val="12"/>
      <name val="Arial"/>
      <family val="2"/>
    </font>
    <font>
      <sz val="9"/>
      <name val="等线"/>
      <family val="3"/>
      <charset val="134"/>
      <scheme val="minor"/>
    </font>
    <font>
      <b/>
      <sz val="14"/>
      <color theme="1"/>
      <name val="等线"/>
      <family val="2"/>
      <scheme val="minor"/>
    </font>
    <font>
      <sz val="14"/>
      <color theme="1"/>
      <name val="等线"/>
      <family val="2"/>
      <scheme val="minor"/>
    </font>
    <font>
      <b/>
      <sz val="11"/>
      <color theme="1"/>
      <name val="等线"/>
      <family val="2"/>
      <scheme val="minor"/>
    </font>
    <font>
      <b/>
      <sz val="12"/>
      <color theme="1"/>
      <name val="等线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9" fillId="0" borderId="0"/>
    <xf numFmtId="9" fontId="1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21" fillId="0" borderId="0" xfId="42" applyFont="1" applyAlignment="1">
      <alignment horizontal="center" vertical="center" wrapText="1"/>
    </xf>
    <xf numFmtId="0" fontId="19" fillId="0" borderId="0" xfId="42" applyAlignment="1">
      <alignment vertical="center" wrapText="1"/>
    </xf>
    <xf numFmtId="0" fontId="19" fillId="34" borderId="0" xfId="42" applyFill="1"/>
    <xf numFmtId="0" fontId="19" fillId="0" borderId="0" xfId="42"/>
    <xf numFmtId="0" fontId="19" fillId="33" borderId="0" xfId="42" applyFill="1"/>
    <xf numFmtId="0" fontId="21" fillId="0" borderId="0" xfId="42" applyFont="1"/>
    <xf numFmtId="176" fontId="19" fillId="33" borderId="0" xfId="42" applyNumberFormat="1" applyFill="1"/>
    <xf numFmtId="177" fontId="19" fillId="33" borderId="0" xfId="42" applyNumberFormat="1" applyFill="1"/>
    <xf numFmtId="0" fontId="19" fillId="0" borderId="0" xfId="42" applyAlignment="1">
      <alignment wrapText="1"/>
    </xf>
    <xf numFmtId="3" fontId="27" fillId="0" borderId="0" xfId="0" applyNumberFormat="1" applyFont="1" applyAlignment="1">
      <alignment wrapText="1"/>
    </xf>
    <xf numFmtId="0" fontId="27" fillId="0" borderId="0" xfId="0" applyFont="1" applyAlignment="1">
      <alignment horizontal="center" wrapText="1"/>
    </xf>
    <xf numFmtId="178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center"/>
    </xf>
    <xf numFmtId="178" fontId="0" fillId="0" borderId="0" xfId="0" applyNumberFormat="1" applyAlignment="1"/>
    <xf numFmtId="2" fontId="0" fillId="0" borderId="0" xfId="0" applyNumberFormat="1" applyAlignment="1"/>
    <xf numFmtId="10" fontId="0" fillId="0" borderId="0" xfId="43" applyNumberFormat="1" applyFont="1" applyAlignment="1"/>
    <xf numFmtId="0" fontId="0" fillId="0" borderId="0" xfId="0" applyAlignment="1"/>
    <xf numFmtId="179" fontId="0" fillId="0" borderId="0" xfId="0" applyNumberFormat="1" applyAlignment="1"/>
    <xf numFmtId="0" fontId="27" fillId="0" borderId="0" xfId="0" applyFont="1" applyAlignment="1"/>
    <xf numFmtId="176" fontId="0" fillId="0" borderId="0" xfId="0" applyNumberFormat="1" applyAlignment="1"/>
    <xf numFmtId="0" fontId="21" fillId="0" borderId="0" xfId="42" applyFont="1" applyAlignment="1">
      <alignment horizontal="center"/>
    </xf>
    <xf numFmtId="0" fontId="20" fillId="0" borderId="0" xfId="42" applyFont="1" applyAlignment="1">
      <alignment horizontal="center"/>
    </xf>
    <xf numFmtId="0" fontId="21" fillId="0" borderId="0" xfId="42" applyFont="1" applyAlignment="1">
      <alignment horizontal="center" vertical="center" wrapText="1"/>
    </xf>
    <xf numFmtId="0" fontId="20" fillId="0" borderId="0" xfId="42" applyFont="1" applyAlignment="1">
      <alignment horizontal="center" vertical="center" wrapText="1"/>
    </xf>
    <xf numFmtId="0" fontId="19" fillId="0" borderId="0" xfId="42" applyAlignment="1">
      <alignment vertical="center" wrapText="1"/>
    </xf>
    <xf numFmtId="0" fontId="23" fillId="0" borderId="0" xfId="42" applyFont="1" applyAlignment="1">
      <alignment horizontal="center" vertical="center" wrapText="1"/>
    </xf>
    <xf numFmtId="0" fontId="23" fillId="0" borderId="0" xfId="42" applyFont="1" applyAlignment="1">
      <alignment horizontal="center"/>
    </xf>
    <xf numFmtId="178" fontId="25" fillId="0" borderId="0" xfId="0" applyNumberFormat="1" applyFont="1" applyAlignment="1">
      <alignment horizontal="center"/>
    </xf>
    <xf numFmtId="178" fontId="26" fillId="0" borderId="0" xfId="0" applyNumberFormat="1" applyFont="1" applyAlignment="1">
      <alignment horizontal="center"/>
    </xf>
    <xf numFmtId="0" fontId="25" fillId="0" borderId="0" xfId="0" applyFont="1" applyAlignment="1">
      <alignment horizontal="center"/>
    </xf>
    <xf numFmtId="0" fontId="28" fillId="0" borderId="0" xfId="0" applyFont="1" applyAlignment="1">
      <alignment horizontal="center"/>
    </xf>
  </cellXfs>
  <cellStyles count="44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Normal 2" xfId="42" xr:uid="{9C0C1AD8-6C83-4883-A975-6871AF3AEBD6}"/>
    <cellStyle name="百分比" xfId="43" builtinId="5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ay\Desktop\&#36130;&#21153;&#37329;&#34701;&#24314;&#27169;_excel&amp;vba\&#27599;&#31456;&#27491;&#25991;&#20869;&#23481;&#37197;&#22871;&#25968;&#25454;&#21253;\FM4,%20Chapter%2032,%20matrices.xlsm" TargetMode="External"/><Relationship Id="rId1" Type="http://schemas.openxmlformats.org/officeDocument/2006/relationships/externalLinkPath" Target="/Users/jay/Desktop/&#36130;&#21153;&#37329;&#34701;&#24314;&#27169;_excel&amp;vba/&#27599;&#31456;&#27491;&#25991;&#20869;&#23481;&#37197;&#22871;&#25968;&#25454;&#21253;/FM4,%20Chapter%2032,%20matric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839"/>
      <sheetName val="Page 839 (中文)"/>
      <sheetName val="Page 840"/>
      <sheetName val="Page 840 (中文)"/>
      <sheetName val="Page 840, bottom"/>
      <sheetName val="Page 840, bottom (中文)"/>
      <sheetName val="Page 841"/>
      <sheetName val="Page 841 (中文)"/>
      <sheetName val="Page 842"/>
      <sheetName val="Page 842 (中文)"/>
      <sheetName val="Page 843"/>
      <sheetName val="Page 843 (中文)"/>
      <sheetName val="Page 844 top"/>
      <sheetName val="Page 844 top (中文)"/>
      <sheetName val="Page 844, bottom"/>
      <sheetName val="Page 844, bottom (中文)"/>
      <sheetName val="Page 845"/>
      <sheetName val="Page 845 (中文)"/>
      <sheetName val="Data for page 847"/>
      <sheetName val="Data for page 847 (中文)"/>
      <sheetName val="Page 847, ttop"/>
      <sheetName val="Page 847, ttop (中文)"/>
      <sheetName val="Page 847, bottom"/>
      <sheetName val="Page 847, bottom (中文)"/>
      <sheetName val="Page 848"/>
      <sheetName val="Page 848 (中文)"/>
      <sheetName val="Page 850"/>
      <sheetName val="Page 850 (中文)"/>
      <sheetName val="Page 851"/>
      <sheetName val="Page 851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2">
          <cell r="B2" t="str">
            <v>MCD</v>
          </cell>
          <cell r="C2" t="str">
            <v>X</v>
          </cell>
          <cell r="D2" t="str">
            <v>MT</v>
          </cell>
          <cell r="E2" t="str">
            <v>MSFT</v>
          </cell>
          <cell r="F2" t="str">
            <v>AAPL</v>
          </cell>
          <cell r="G2" t="str">
            <v>K</v>
          </cell>
          <cell r="H2" t="str">
            <v>GE</v>
          </cell>
          <cell r="I2" t="str">
            <v>BAC</v>
          </cell>
          <cell r="J2" t="str">
            <v>PFE</v>
          </cell>
          <cell r="K2" t="str">
            <v>XOM</v>
          </cell>
        </row>
        <row r="3">
          <cell r="A3" t="str">
            <v>MCD</v>
          </cell>
        </row>
        <row r="4">
          <cell r="A4" t="str">
            <v>X</v>
          </cell>
        </row>
        <row r="5">
          <cell r="A5" t="str">
            <v>MT</v>
          </cell>
        </row>
        <row r="6">
          <cell r="A6" t="str">
            <v>MSFT</v>
          </cell>
        </row>
        <row r="7">
          <cell r="A7" t="str">
            <v>AAPL</v>
          </cell>
        </row>
        <row r="8">
          <cell r="A8" t="str">
            <v>K</v>
          </cell>
        </row>
        <row r="9">
          <cell r="A9" t="str">
            <v>GE</v>
          </cell>
        </row>
        <row r="10">
          <cell r="A10" t="str">
            <v>BAC</v>
          </cell>
        </row>
        <row r="11">
          <cell r="A11" t="str">
            <v>PFE</v>
          </cell>
        </row>
        <row r="12">
          <cell r="A12" t="str">
            <v>XOM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BFF3B-40D4-403D-83FE-2EBB00AA03F8}">
  <sheetPr codeName="Sheet1"/>
  <dimension ref="A1:I11"/>
  <sheetViews>
    <sheetView tabSelected="1" workbookViewId="0">
      <selection activeCell="J13" sqref="J13"/>
    </sheetView>
  </sheetViews>
  <sheetFormatPr defaultRowHeight="13.9" x14ac:dyDescent="0.4"/>
  <sheetData>
    <row r="1" spans="1:9" ht="17.649999999999999" x14ac:dyDescent="0.5">
      <c r="A1" s="22" t="s">
        <v>0</v>
      </c>
      <c r="B1" s="22"/>
      <c r="C1" s="22"/>
      <c r="D1" s="22"/>
      <c r="E1" s="22"/>
      <c r="F1" s="22"/>
      <c r="G1" s="22"/>
      <c r="H1" s="22"/>
      <c r="I1" s="22"/>
    </row>
    <row r="2" spans="1:9" ht="39.4" x14ac:dyDescent="0.4">
      <c r="A2" s="23" t="s">
        <v>1</v>
      </c>
      <c r="B2" s="23"/>
      <c r="C2" s="23"/>
      <c r="D2" s="2"/>
      <c r="E2" s="23" t="s">
        <v>2</v>
      </c>
      <c r="F2" s="23"/>
      <c r="G2" s="23"/>
      <c r="H2" s="2"/>
      <c r="I2" s="1" t="s">
        <v>3</v>
      </c>
    </row>
    <row r="3" spans="1:9" x14ac:dyDescent="0.35">
      <c r="A3" s="5">
        <v>2</v>
      </c>
      <c r="B3" s="5">
        <v>3</v>
      </c>
      <c r="C3" s="5">
        <v>4</v>
      </c>
      <c r="D3" s="4"/>
      <c r="E3" s="5">
        <v>13</v>
      </c>
      <c r="F3" s="5">
        <v>-8</v>
      </c>
      <c r="G3" s="5">
        <v>-3</v>
      </c>
      <c r="H3" s="4"/>
      <c r="I3" s="5">
        <v>13</v>
      </c>
    </row>
    <row r="4" spans="1:9" x14ac:dyDescent="0.35">
      <c r="A4" s="4"/>
      <c r="B4" s="4"/>
      <c r="C4" s="4"/>
      <c r="D4" s="4"/>
      <c r="E4" s="5">
        <v>-8</v>
      </c>
      <c r="F4" s="5">
        <v>10</v>
      </c>
      <c r="G4" s="5">
        <v>-1</v>
      </c>
      <c r="H4" s="4"/>
      <c r="I4" s="5">
        <v>-8</v>
      </c>
    </row>
    <row r="5" spans="1:9" x14ac:dyDescent="0.35">
      <c r="A5" s="4"/>
      <c r="B5" s="4"/>
      <c r="C5" s="4"/>
      <c r="D5" s="4"/>
      <c r="E5" s="5">
        <v>-3</v>
      </c>
      <c r="F5" s="5">
        <v>-1</v>
      </c>
      <c r="G5" s="5">
        <v>11</v>
      </c>
      <c r="H5" s="4"/>
      <c r="I5" s="5">
        <v>-3</v>
      </c>
    </row>
    <row r="6" spans="1:9" x14ac:dyDescent="0.35">
      <c r="A6" s="4"/>
      <c r="B6" s="4"/>
      <c r="C6" s="4"/>
      <c r="D6" s="4"/>
      <c r="E6" s="4"/>
      <c r="F6" s="4"/>
      <c r="G6" s="4"/>
      <c r="H6" s="4"/>
      <c r="I6" s="4"/>
    </row>
    <row r="7" spans="1:9" x14ac:dyDescent="0.4">
      <c r="A7" s="21" t="s">
        <v>4</v>
      </c>
      <c r="B7" s="21"/>
      <c r="C7" s="21"/>
      <c r="D7" s="4"/>
      <c r="E7" s="4"/>
      <c r="F7" s="4"/>
      <c r="G7" s="4"/>
      <c r="H7" s="4"/>
      <c r="I7" s="4"/>
    </row>
    <row r="8" spans="1:9" x14ac:dyDescent="0.35">
      <c r="A8" s="5">
        <v>13</v>
      </c>
      <c r="B8" s="5">
        <v>-8</v>
      </c>
      <c r="C8" s="5">
        <v>-3</v>
      </c>
      <c r="D8" s="4"/>
      <c r="E8" s="4"/>
      <c r="F8" s="4"/>
      <c r="G8" s="4"/>
      <c r="H8" s="4"/>
      <c r="I8" s="4"/>
    </row>
    <row r="9" spans="1:9" x14ac:dyDescent="0.35">
      <c r="A9" s="5">
        <v>-8</v>
      </c>
      <c r="B9" s="5">
        <v>10</v>
      </c>
      <c r="C9" s="5">
        <v>-1</v>
      </c>
      <c r="D9" s="4"/>
      <c r="E9" s="4"/>
      <c r="F9" s="4"/>
      <c r="G9" s="4"/>
      <c r="H9" s="4"/>
      <c r="I9" s="4"/>
    </row>
    <row r="10" spans="1:9" x14ac:dyDescent="0.35">
      <c r="A10" s="5">
        <v>-3</v>
      </c>
      <c r="B10" s="5">
        <v>-1</v>
      </c>
      <c r="C10" s="5">
        <v>11</v>
      </c>
      <c r="D10" s="4"/>
      <c r="E10" s="4"/>
      <c r="F10" s="4"/>
      <c r="G10" s="4"/>
      <c r="H10" s="4"/>
      <c r="I10" s="4"/>
    </row>
    <row r="11" spans="1:9" x14ac:dyDescent="0.35">
      <c r="A11" s="5">
        <v>0</v>
      </c>
      <c r="B11" s="5">
        <v>13</v>
      </c>
      <c r="C11" s="5">
        <v>3</v>
      </c>
      <c r="D11" s="4"/>
      <c r="E11" s="4"/>
      <c r="F11" s="4"/>
      <c r="G11" s="4"/>
      <c r="H11" s="4"/>
      <c r="I11" s="4"/>
    </row>
  </sheetData>
  <mergeCells count="4">
    <mergeCell ref="A7:C7"/>
    <mergeCell ref="A1:I1"/>
    <mergeCell ref="A2:C2"/>
    <mergeCell ref="E2:G2"/>
  </mergeCells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9C9B4-73E6-46EF-BEDC-A898C1CF829F}">
  <sheetPr codeName="Sheet2"/>
  <dimension ref="A1:E11"/>
  <sheetViews>
    <sheetView workbookViewId="0">
      <selection activeCell="F12" sqref="F12"/>
    </sheetView>
  </sheetViews>
  <sheetFormatPr defaultRowHeight="13.9" x14ac:dyDescent="0.4"/>
  <cols>
    <col min="1" max="1" width="14.86328125" bestFit="1" customWidth="1"/>
    <col min="2" max="2" width="7.86328125" customWidth="1"/>
    <col min="3" max="3" width="11.59765625" customWidth="1"/>
    <col min="4" max="4" width="12.265625" customWidth="1"/>
  </cols>
  <sheetData>
    <row r="1" spans="1:5" ht="17.649999999999999" x14ac:dyDescent="0.4">
      <c r="A1" s="24" t="s">
        <v>5</v>
      </c>
      <c r="B1" s="24"/>
      <c r="C1" s="24"/>
      <c r="D1" s="24"/>
      <c r="E1" s="24"/>
    </row>
    <row r="2" spans="1:5" x14ac:dyDescent="0.35">
      <c r="A2" s="4" t="s">
        <v>6</v>
      </c>
      <c r="B2" s="4">
        <v>6</v>
      </c>
      <c r="C2" s="4"/>
      <c r="D2" s="4"/>
      <c r="E2" s="4"/>
    </row>
    <row r="3" spans="1:5" x14ac:dyDescent="0.35">
      <c r="A3" s="4"/>
      <c r="B3" s="4"/>
      <c r="C3" s="4"/>
      <c r="D3" s="4"/>
      <c r="E3" s="4"/>
    </row>
    <row r="4" spans="1:5" x14ac:dyDescent="0.35">
      <c r="A4" s="4" t="s">
        <v>7</v>
      </c>
      <c r="B4" s="4">
        <v>13</v>
      </c>
      <c r="C4" s="4">
        <v>-8</v>
      </c>
      <c r="D4" s="4">
        <v>-3</v>
      </c>
      <c r="E4" s="4"/>
    </row>
    <row r="5" spans="1:5" x14ac:dyDescent="0.35">
      <c r="A5" s="4"/>
      <c r="B5" s="4">
        <v>-8</v>
      </c>
      <c r="C5" s="4">
        <v>10</v>
      </c>
      <c r="D5" s="4">
        <v>-1</v>
      </c>
      <c r="E5" s="4"/>
    </row>
    <row r="6" spans="1:5" x14ac:dyDescent="0.35">
      <c r="A6" s="4"/>
      <c r="B6" s="4">
        <v>-3</v>
      </c>
      <c r="C6" s="4">
        <v>-1</v>
      </c>
      <c r="D6" s="4">
        <v>11</v>
      </c>
      <c r="E6" s="4"/>
    </row>
    <row r="7" spans="1:5" x14ac:dyDescent="0.35">
      <c r="A7" s="4"/>
      <c r="B7" s="4"/>
      <c r="C7" s="4"/>
      <c r="D7" s="4"/>
      <c r="E7" s="4"/>
    </row>
    <row r="8" spans="1:5" x14ac:dyDescent="0.35">
      <c r="A8" s="4" t="s">
        <v>8</v>
      </c>
      <c r="B8" s="4"/>
      <c r="C8" s="4"/>
      <c r="D8" s="4"/>
      <c r="E8" s="4"/>
    </row>
    <row r="9" spans="1:5" x14ac:dyDescent="0.35">
      <c r="A9" s="4"/>
      <c r="B9" s="5">
        <f>B4*$B$2</f>
        <v>78</v>
      </c>
      <c r="C9" s="5">
        <f t="shared" ref="C9:D9" si="0">C4*$B$2</f>
        <v>-48</v>
      </c>
      <c r="D9" s="5">
        <f t="shared" si="0"/>
        <v>-18</v>
      </c>
      <c r="E9" s="4" t="str">
        <f ca="1">_xlfn.FORMULATEXT(D9)</f>
        <v>=D4*$B$2</v>
      </c>
    </row>
    <row r="10" spans="1:5" x14ac:dyDescent="0.35">
      <c r="A10" s="4"/>
      <c r="B10" s="5">
        <f t="shared" ref="B10:D10" si="1">B5*$B$2</f>
        <v>-48</v>
      </c>
      <c r="C10" s="5">
        <f t="shared" si="1"/>
        <v>60</v>
      </c>
      <c r="D10" s="5">
        <f t="shared" si="1"/>
        <v>-6</v>
      </c>
      <c r="E10" s="4"/>
    </row>
    <row r="11" spans="1:5" x14ac:dyDescent="0.35">
      <c r="A11" s="4"/>
      <c r="B11" s="5">
        <f t="shared" ref="B11:D11" si="2">B6*$B$2</f>
        <v>-18</v>
      </c>
      <c r="C11" s="5">
        <f t="shared" si="2"/>
        <v>-6</v>
      </c>
      <c r="D11" s="5">
        <f t="shared" si="2"/>
        <v>66</v>
      </c>
      <c r="E11" s="4"/>
    </row>
  </sheetData>
  <mergeCells count="1">
    <mergeCell ref="A1:E1"/>
  </mergeCells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7EE5-D927-43F7-92DB-2C24DC4F4B7D}">
  <sheetPr codeName="Sheet3"/>
  <dimension ref="A1:I17"/>
  <sheetViews>
    <sheetView workbookViewId="0">
      <selection activeCell="J9" sqref="J9"/>
    </sheetView>
  </sheetViews>
  <sheetFormatPr defaultRowHeight="13.9" x14ac:dyDescent="0.4"/>
  <sheetData>
    <row r="1" spans="1:9" ht="17.649999999999999" x14ac:dyDescent="0.5">
      <c r="A1" s="22" t="s">
        <v>9</v>
      </c>
      <c r="B1" s="22"/>
      <c r="C1" s="22"/>
      <c r="D1" s="22"/>
      <c r="E1" s="22"/>
      <c r="F1" s="22"/>
      <c r="G1" s="22"/>
      <c r="H1" s="22"/>
      <c r="I1" s="22"/>
    </row>
    <row r="2" spans="1:9" ht="32.25" customHeight="1" x14ac:dyDescent="0.4">
      <c r="A2" s="21" t="s">
        <v>10</v>
      </c>
      <c r="B2" s="21"/>
      <c r="C2" s="4"/>
      <c r="D2" s="21" t="s">
        <v>7</v>
      </c>
      <c r="E2" s="21"/>
      <c r="F2" s="4"/>
      <c r="G2" s="6" t="s">
        <v>11</v>
      </c>
      <c r="H2" s="6"/>
      <c r="I2" s="4"/>
    </row>
    <row r="3" spans="1:9" x14ac:dyDescent="0.35">
      <c r="A3" s="4">
        <v>1</v>
      </c>
      <c r="B3" s="4">
        <v>3</v>
      </c>
      <c r="C3" s="4"/>
      <c r="D3" s="4">
        <v>2</v>
      </c>
      <c r="E3" s="4">
        <v>3</v>
      </c>
      <c r="F3" s="4"/>
      <c r="G3" s="5">
        <f>A3+D3</f>
        <v>3</v>
      </c>
      <c r="H3" s="5">
        <f>B3+E3</f>
        <v>6</v>
      </c>
      <c r="I3" s="4" t="str">
        <f ca="1">_xlfn.FORMULATEXT(H3)</f>
        <v>=B3+E3</v>
      </c>
    </row>
    <row r="4" spans="1:9" x14ac:dyDescent="0.35">
      <c r="A4" s="4">
        <v>3</v>
      </c>
      <c r="B4" s="4">
        <v>0</v>
      </c>
      <c r="C4" s="4"/>
      <c r="D4" s="4">
        <v>23</v>
      </c>
      <c r="E4" s="4">
        <v>5</v>
      </c>
      <c r="F4" s="4"/>
      <c r="G4" s="5">
        <f t="shared" ref="G4:G7" si="0">A4+D4</f>
        <v>26</v>
      </c>
      <c r="H4" s="5">
        <f t="shared" ref="H4:H7" si="1">B4+E4</f>
        <v>5</v>
      </c>
      <c r="I4" s="4"/>
    </row>
    <row r="5" spans="1:9" x14ac:dyDescent="0.35">
      <c r="A5" s="4">
        <v>6</v>
      </c>
      <c r="B5" s="4">
        <v>-9</v>
      </c>
      <c r="C5" s="4"/>
      <c r="D5" s="4">
        <v>8</v>
      </c>
      <c r="E5" s="4">
        <v>6</v>
      </c>
      <c r="F5" s="4"/>
      <c r="G5" s="5">
        <f t="shared" si="0"/>
        <v>14</v>
      </c>
      <c r="H5" s="5">
        <f t="shared" si="1"/>
        <v>-3</v>
      </c>
      <c r="I5" s="4"/>
    </row>
    <row r="6" spans="1:9" x14ac:dyDescent="0.35">
      <c r="A6" s="4">
        <v>5</v>
      </c>
      <c r="B6" s="4">
        <v>11</v>
      </c>
      <c r="C6" s="4"/>
      <c r="D6" s="4">
        <v>-15</v>
      </c>
      <c r="E6" s="4">
        <v>1</v>
      </c>
      <c r="F6" s="4"/>
      <c r="G6" s="5">
        <f t="shared" si="0"/>
        <v>-10</v>
      </c>
      <c r="H6" s="5">
        <f t="shared" si="1"/>
        <v>12</v>
      </c>
      <c r="I6" s="4"/>
    </row>
    <row r="7" spans="1:9" x14ac:dyDescent="0.35">
      <c r="A7" s="4">
        <v>7</v>
      </c>
      <c r="B7" s="4">
        <v>12</v>
      </c>
      <c r="C7" s="4"/>
      <c r="D7" s="4">
        <v>4</v>
      </c>
      <c r="E7" s="4">
        <v>-1</v>
      </c>
      <c r="F7" s="4"/>
      <c r="G7" s="5">
        <f t="shared" si="0"/>
        <v>11</v>
      </c>
      <c r="H7" s="5">
        <f t="shared" si="1"/>
        <v>11</v>
      </c>
      <c r="I7" s="4"/>
    </row>
    <row r="17" ht="28.5" customHeight="1" x14ac:dyDescent="0.4"/>
  </sheetData>
  <mergeCells count="3">
    <mergeCell ref="A1:I1"/>
    <mergeCell ref="A2:B2"/>
    <mergeCell ref="D2:E2"/>
  </mergeCells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A5293-542E-4A13-B8FF-EAADBE463A82}">
  <sheetPr codeName="Sheet4"/>
  <dimension ref="A1:I14"/>
  <sheetViews>
    <sheetView workbookViewId="0">
      <selection activeCell="J17" sqref="J17"/>
    </sheetView>
  </sheetViews>
  <sheetFormatPr defaultRowHeight="13.9" x14ac:dyDescent="0.4"/>
  <sheetData>
    <row r="1" spans="1:9" ht="17.649999999999999" x14ac:dyDescent="0.5">
      <c r="A1" s="22" t="s">
        <v>12</v>
      </c>
      <c r="B1" s="22"/>
      <c r="C1" s="22"/>
      <c r="D1" s="22"/>
      <c r="E1" s="22"/>
      <c r="F1" s="22"/>
      <c r="G1" s="22"/>
      <c r="H1" s="22"/>
      <c r="I1" s="22"/>
    </row>
    <row r="2" spans="1:9" ht="15" x14ac:dyDescent="0.4">
      <c r="A2" s="6" t="s">
        <v>13</v>
      </c>
      <c r="B2" s="4"/>
      <c r="C2" s="4"/>
      <c r="D2" s="4"/>
      <c r="E2" s="4"/>
      <c r="F2" s="6" t="s">
        <v>14</v>
      </c>
      <c r="G2" s="4"/>
      <c r="H2" s="4"/>
      <c r="I2" s="4"/>
    </row>
    <row r="3" spans="1:9" x14ac:dyDescent="0.35">
      <c r="A3" s="4">
        <v>1</v>
      </c>
      <c r="B3" s="4">
        <v>2</v>
      </c>
      <c r="C3" s="4">
        <v>3</v>
      </c>
      <c r="D3" s="4">
        <v>4</v>
      </c>
      <c r="E3" s="4"/>
      <c r="F3" s="5" cm="1">
        <f t="array" ref="F3:H6">TRANSPOSE(A3:D5)</f>
        <v>1</v>
      </c>
      <c r="G3" s="5">
        <v>0</v>
      </c>
      <c r="H3" s="5">
        <v>16</v>
      </c>
      <c r="I3" s="3" t="e">
        <f ca="1">_xlfn.FORMULATEXT(H3)</f>
        <v>#N/A</v>
      </c>
    </row>
    <row r="4" spans="1:9" x14ac:dyDescent="0.35">
      <c r="A4" s="4">
        <v>0</v>
      </c>
      <c r="B4" s="4">
        <v>3</v>
      </c>
      <c r="C4" s="4">
        <v>77</v>
      </c>
      <c r="D4" s="4">
        <v>-9</v>
      </c>
      <c r="E4" s="4"/>
      <c r="F4" s="5">
        <v>2</v>
      </c>
      <c r="G4" s="5">
        <v>3</v>
      </c>
      <c r="H4" s="5">
        <v>7</v>
      </c>
      <c r="I4" s="4"/>
    </row>
    <row r="5" spans="1:9" x14ac:dyDescent="0.35">
      <c r="A5" s="4">
        <v>16</v>
      </c>
      <c r="B5" s="4">
        <v>7</v>
      </c>
      <c r="C5" s="4">
        <v>7</v>
      </c>
      <c r="D5" s="4">
        <v>2</v>
      </c>
      <c r="E5" s="4"/>
      <c r="F5" s="5">
        <v>3</v>
      </c>
      <c r="G5" s="5">
        <v>77</v>
      </c>
      <c r="H5" s="5">
        <v>7</v>
      </c>
      <c r="I5" s="4"/>
    </row>
    <row r="6" spans="1:9" x14ac:dyDescent="0.35">
      <c r="A6" s="4"/>
      <c r="B6" s="4"/>
      <c r="C6" s="4"/>
      <c r="D6" s="4"/>
      <c r="E6" s="4"/>
      <c r="F6" s="5">
        <v>4</v>
      </c>
      <c r="G6" s="5">
        <v>-9</v>
      </c>
      <c r="H6" s="5">
        <v>2</v>
      </c>
      <c r="I6" s="4"/>
    </row>
    <row r="7" spans="1:9" x14ac:dyDescent="0.35">
      <c r="A7" s="4"/>
      <c r="B7" s="4"/>
      <c r="C7" s="4"/>
      <c r="D7" s="4"/>
      <c r="E7" s="4"/>
      <c r="F7" s="4"/>
      <c r="G7" s="4"/>
      <c r="H7" s="4"/>
      <c r="I7" s="4"/>
    </row>
    <row r="8" spans="1:9" ht="43.15" customHeight="1" x14ac:dyDescent="0.4">
      <c r="A8" s="25" t="str">
        <f>"Cells "&amp;CHAR(COLUMN(F3)+64)&amp;ROW(F3)&amp;":"&amp;CHAR(COLUMN(H6)+64)&amp;ROW(H6)&amp;" are generated with the array function Transpose("&amp;CHAR(COLUMN(A3)+64)&amp;ROW(A3)&amp;":"&amp;CHAR(COLUMN(D5)+64)&amp;ROW(D5)&amp;").  This function is inserted by marking off the target area, typing the formula, and then finishing by pressing [Ctrl]+[Shift]+[Enter] .  See Chapter 34 for more details."</f>
        <v>Cells F3:H6 are generated with the array function Transpose(A3:D5).  This function is inserted by marking off the target area, typing the formula, and then finishing by pressing [Ctrl]+[Shift]+[Enter] .  See Chapter 34 for more details.</v>
      </c>
      <c r="B8" s="25"/>
      <c r="C8" s="25"/>
      <c r="D8" s="25"/>
      <c r="E8" s="25"/>
      <c r="F8" s="25"/>
      <c r="G8" s="25"/>
      <c r="H8" s="25"/>
      <c r="I8" s="25"/>
    </row>
    <row r="10" spans="1:9" ht="15" x14ac:dyDescent="0.4">
      <c r="A10" s="6" t="s">
        <v>13</v>
      </c>
      <c r="B10" s="4"/>
      <c r="C10" s="4"/>
      <c r="D10" s="4"/>
      <c r="E10" s="4"/>
      <c r="F10" s="6" t="s">
        <v>14</v>
      </c>
      <c r="G10" s="4"/>
      <c r="H10" s="4"/>
    </row>
    <row r="11" spans="1:9" x14ac:dyDescent="0.35">
      <c r="A11" s="4">
        <v>1</v>
      </c>
      <c r="B11" s="4">
        <v>2</v>
      </c>
      <c r="C11" s="4">
        <v>3</v>
      </c>
      <c r="D11" s="4">
        <v>4</v>
      </c>
      <c r="E11" s="4"/>
      <c r="F11" s="5">
        <f t="array" ref="F11:H14">TRANSPOSE(A11:D13)</f>
        <v>1</v>
      </c>
      <c r="G11" s="5">
        <v>0</v>
      </c>
      <c r="H11" s="5">
        <v>16</v>
      </c>
      <c r="I11" t="str">
        <f ca="1">_xlfn.FORMULATEXT(H11)</f>
        <v>{=TRANSPOSE(A11:D13)}</v>
      </c>
    </row>
    <row r="12" spans="1:9" x14ac:dyDescent="0.35">
      <c r="A12" s="4">
        <v>0</v>
      </c>
      <c r="B12" s="4">
        <v>3</v>
      </c>
      <c r="C12" s="4">
        <v>77</v>
      </c>
      <c r="D12" s="4">
        <v>-9</v>
      </c>
      <c r="E12" s="4"/>
      <c r="F12" s="5">
        <v>2</v>
      </c>
      <c r="G12" s="5">
        <v>3</v>
      </c>
      <c r="H12" s="5">
        <v>7</v>
      </c>
    </row>
    <row r="13" spans="1:9" x14ac:dyDescent="0.35">
      <c r="A13" s="4">
        <v>16</v>
      </c>
      <c r="B13" s="4">
        <v>7</v>
      </c>
      <c r="C13" s="4">
        <v>7</v>
      </c>
      <c r="D13" s="4">
        <v>2</v>
      </c>
      <c r="E13" s="4"/>
      <c r="F13" s="5">
        <v>3</v>
      </c>
      <c r="G13" s="5">
        <v>77</v>
      </c>
      <c r="H13" s="5">
        <v>7</v>
      </c>
    </row>
    <row r="14" spans="1:9" x14ac:dyDescent="0.35">
      <c r="A14" s="4"/>
      <c r="B14" s="4"/>
      <c r="C14" s="4"/>
      <c r="D14" s="4"/>
      <c r="E14" s="4"/>
      <c r="F14" s="5">
        <v>4</v>
      </c>
      <c r="G14" s="5">
        <v>-9</v>
      </c>
      <c r="H14" s="5">
        <v>2</v>
      </c>
    </row>
  </sheetData>
  <mergeCells count="2">
    <mergeCell ref="A1:I1"/>
    <mergeCell ref="A8:I8"/>
  </mergeCells>
  <phoneticPr fontId="1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A17AD-58D8-46FB-844A-7AB31815D779}">
  <sheetPr codeName="Sheet5"/>
  <dimension ref="A1:F13"/>
  <sheetViews>
    <sheetView workbookViewId="0">
      <selection activeCell="G27" sqref="G27"/>
    </sheetView>
  </sheetViews>
  <sheetFormatPr defaultRowHeight="13.9" x14ac:dyDescent="0.4"/>
  <sheetData>
    <row r="1" spans="1:6" ht="17.649999999999999" x14ac:dyDescent="0.5">
      <c r="A1" s="22" t="s">
        <v>15</v>
      </c>
      <c r="B1" s="22"/>
      <c r="C1" s="22"/>
      <c r="D1" s="22"/>
      <c r="E1" s="22"/>
      <c r="F1" s="22"/>
    </row>
    <row r="2" spans="1:6" x14ac:dyDescent="0.4">
      <c r="A2" s="21" t="s">
        <v>10</v>
      </c>
      <c r="B2" s="21"/>
      <c r="C2" s="4"/>
      <c r="D2" s="21" t="s">
        <v>7</v>
      </c>
      <c r="E2" s="21"/>
      <c r="F2" s="21"/>
    </row>
    <row r="3" spans="1:6" x14ac:dyDescent="0.35">
      <c r="A3" s="4">
        <v>2</v>
      </c>
      <c r="B3" s="4">
        <v>-7</v>
      </c>
      <c r="C3" s="4"/>
      <c r="D3" s="4">
        <v>6</v>
      </c>
      <c r="E3" s="4">
        <v>9</v>
      </c>
      <c r="F3" s="4">
        <v>-12</v>
      </c>
    </row>
    <row r="4" spans="1:6" x14ac:dyDescent="0.35">
      <c r="A4" s="4">
        <v>0</v>
      </c>
      <c r="B4" s="4">
        <v>3</v>
      </c>
      <c r="C4" s="4"/>
      <c r="D4" s="4">
        <v>-5</v>
      </c>
      <c r="E4" s="4">
        <v>2</v>
      </c>
      <c r="F4" s="4">
        <v>4</v>
      </c>
    </row>
    <row r="5" spans="1:6" x14ac:dyDescent="0.35">
      <c r="A5" s="4"/>
      <c r="B5" s="4"/>
      <c r="C5" s="4"/>
      <c r="D5" s="4"/>
      <c r="E5" s="4"/>
      <c r="F5" s="4"/>
    </row>
    <row r="6" spans="1:6" x14ac:dyDescent="0.4">
      <c r="A6" s="21" t="s">
        <v>16</v>
      </c>
      <c r="B6" s="21"/>
      <c r="C6" s="21"/>
      <c r="D6" s="4"/>
      <c r="E6" s="4"/>
      <c r="F6" s="4"/>
    </row>
    <row r="7" spans="1:6" x14ac:dyDescent="0.35">
      <c r="A7" s="5">
        <f t="array" ref="A7:C8">MMULT(A3:B4,D3:F4)</f>
        <v>47</v>
      </c>
      <c r="B7" s="5">
        <v>4</v>
      </c>
      <c r="C7" s="5">
        <v>-52</v>
      </c>
      <c r="D7" s="4" t="str">
        <f ca="1">_xlfn.FORMULATEXT(C7)</f>
        <v>{=MMULT(A3:B4,D3:F4)}</v>
      </c>
      <c r="E7" s="4"/>
      <c r="F7" s="4"/>
    </row>
    <row r="8" spans="1:6" x14ac:dyDescent="0.35">
      <c r="A8" s="5">
        <v>-15</v>
      </c>
      <c r="B8" s="5">
        <v>6</v>
      </c>
      <c r="C8" s="5">
        <v>12</v>
      </c>
      <c r="D8" s="4"/>
      <c r="E8" s="4"/>
      <c r="F8" s="4"/>
    </row>
    <row r="11" spans="1:6" x14ac:dyDescent="0.4">
      <c r="A11" s="21" t="s">
        <v>17</v>
      </c>
      <c r="B11" s="21"/>
      <c r="C11" s="21"/>
    </row>
    <row r="12" spans="1:6" x14ac:dyDescent="0.4">
      <c r="A12" t="e">
        <f t="array" ref="A12:C13">MMULT(D3:F4,A3:B4)</f>
        <v>#VALUE!</v>
      </c>
      <c r="B12" t="e">
        <v>#VALUE!</v>
      </c>
      <c r="C12" t="e">
        <v>#VALUE!</v>
      </c>
    </row>
    <row r="13" spans="1:6" x14ac:dyDescent="0.4">
      <c r="A13" t="e">
        <v>#VALUE!</v>
      </c>
      <c r="B13" t="e">
        <v>#VALUE!</v>
      </c>
      <c r="C13" t="e">
        <v>#VALUE!</v>
      </c>
    </row>
  </sheetData>
  <mergeCells count="5">
    <mergeCell ref="A1:F1"/>
    <mergeCell ref="A2:B2"/>
    <mergeCell ref="D2:F2"/>
    <mergeCell ref="A6:C6"/>
    <mergeCell ref="A11:C11"/>
  </mergeCells>
  <phoneticPr fontId="1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6BF7D-4E68-4F92-9065-3847AD60DA75}">
  <sheetPr codeName="Sheet6"/>
  <dimension ref="A1:J13"/>
  <sheetViews>
    <sheetView workbookViewId="0">
      <selection activeCell="H21" sqref="H21"/>
    </sheetView>
  </sheetViews>
  <sheetFormatPr defaultRowHeight="13.9" x14ac:dyDescent="0.4"/>
  <cols>
    <col min="1" max="2" width="9.1328125" bestFit="1" customWidth="1"/>
    <col min="3" max="3" width="13.1328125" bestFit="1" customWidth="1"/>
    <col min="4" max="4" width="12.06640625" bestFit="1" customWidth="1"/>
  </cols>
  <sheetData>
    <row r="1" spans="1:10" ht="15" x14ac:dyDescent="0.4">
      <c r="A1" s="24" t="s">
        <v>18</v>
      </c>
      <c r="B1" s="26"/>
      <c r="C1" s="26"/>
      <c r="D1" s="26"/>
      <c r="E1" s="26"/>
      <c r="F1" s="26"/>
      <c r="G1" s="26"/>
      <c r="H1" s="26"/>
      <c r="I1" s="26"/>
      <c r="J1" s="26"/>
    </row>
    <row r="2" spans="1:10" x14ac:dyDescent="0.4">
      <c r="A2" s="21" t="s">
        <v>10</v>
      </c>
      <c r="B2" s="21"/>
      <c r="C2" s="21"/>
      <c r="D2" s="21"/>
      <c r="E2" s="4"/>
      <c r="F2" s="21" t="s">
        <v>19</v>
      </c>
      <c r="G2" s="21"/>
      <c r="H2" s="21"/>
      <c r="I2" s="21"/>
      <c r="J2" s="6"/>
    </row>
    <row r="3" spans="1:10" x14ac:dyDescent="0.35">
      <c r="A3" s="4">
        <v>1</v>
      </c>
      <c r="B3" s="4">
        <v>-9</v>
      </c>
      <c r="C3" s="4">
        <v>16</v>
      </c>
      <c r="D3" s="4">
        <v>1</v>
      </c>
      <c r="E3" s="4"/>
      <c r="F3" s="7">
        <f t="array" ref="F3:I6">MINVERSE(A3:D6)</f>
        <v>-2.1739130434782601E-2</v>
      </c>
      <c r="G3" s="7">
        <v>1.8913043478260871</v>
      </c>
      <c r="H3" s="7">
        <v>0.53623188405797095</v>
      </c>
      <c r="I3" s="7">
        <v>-1.1449275362318838</v>
      </c>
      <c r="J3" s="4" t="str">
        <f ca="1">_xlfn.FORMULATEXT(I3)</f>
        <v>{=MINVERSE(A3:D6)}</v>
      </c>
    </row>
    <row r="4" spans="1:10" x14ac:dyDescent="0.35">
      <c r="A4" s="4">
        <v>3</v>
      </c>
      <c r="B4" s="4">
        <v>3</v>
      </c>
      <c r="C4" s="4">
        <v>2</v>
      </c>
      <c r="D4" s="4">
        <v>3</v>
      </c>
      <c r="E4" s="4"/>
      <c r="F4" s="7">
        <v>-2.3352046791995478E-18</v>
      </c>
      <c r="G4" s="7">
        <v>-1</v>
      </c>
      <c r="H4" s="7">
        <v>-0.16666666666666666</v>
      </c>
      <c r="I4" s="7">
        <v>0.66666666666666663</v>
      </c>
      <c r="J4" s="4"/>
    </row>
    <row r="5" spans="1:10" x14ac:dyDescent="0.35">
      <c r="A5" s="4">
        <v>2</v>
      </c>
      <c r="B5" s="4">
        <v>4</v>
      </c>
      <c r="C5" s="4">
        <v>0</v>
      </c>
      <c r="D5" s="4">
        <v>-2</v>
      </c>
      <c r="E5" s="4"/>
      <c r="F5" s="7">
        <v>6.5217391304347824E-2</v>
      </c>
      <c r="G5" s="7">
        <v>-0.67391304347826086</v>
      </c>
      <c r="H5" s="7">
        <v>-0.10869565217391304</v>
      </c>
      <c r="I5" s="7">
        <v>0.43478260869565211</v>
      </c>
      <c r="J5" s="4"/>
    </row>
    <row r="6" spans="1:10" x14ac:dyDescent="0.35">
      <c r="A6" s="4">
        <v>5</v>
      </c>
      <c r="B6" s="4">
        <v>7</v>
      </c>
      <c r="C6" s="4">
        <v>3</v>
      </c>
      <c r="D6" s="4">
        <v>4</v>
      </c>
      <c r="E6" s="4"/>
      <c r="F6" s="7">
        <v>-2.1739130434782608E-2</v>
      </c>
      <c r="G6" s="7">
        <v>-0.1086956521739129</v>
      </c>
      <c r="H6" s="7">
        <v>-0.29710144927536231</v>
      </c>
      <c r="I6" s="7">
        <v>0.18840579710144917</v>
      </c>
      <c r="J6" s="4"/>
    </row>
    <row r="7" spans="1:10" x14ac:dyDescent="0.35">
      <c r="A7" s="4"/>
      <c r="B7" s="4"/>
      <c r="C7" s="4"/>
      <c r="D7" s="4"/>
      <c r="E7" s="4"/>
      <c r="F7" s="4"/>
      <c r="G7" s="4"/>
      <c r="H7" s="4"/>
      <c r="I7" s="4"/>
      <c r="J7" s="4"/>
    </row>
    <row r="8" spans="1:10" ht="15" x14ac:dyDescent="0.4">
      <c r="A8" s="27" t="s">
        <v>20</v>
      </c>
      <c r="B8" s="27"/>
      <c r="C8" s="27"/>
      <c r="D8" s="27"/>
      <c r="E8" s="4"/>
      <c r="F8" s="4"/>
      <c r="G8" s="4"/>
      <c r="H8" s="4"/>
      <c r="I8" s="4"/>
      <c r="J8" s="4"/>
    </row>
    <row r="9" spans="1:10" ht="49.15" customHeight="1" x14ac:dyDescent="0.35">
      <c r="A9" s="25" t="str">
        <f>"We multiply A*Inverse A:  cells below contain array function "</f>
        <v xml:space="preserve">We multiply A*Inverse A:  cells below contain array function </v>
      </c>
      <c r="B9" s="25"/>
      <c r="C9" s="25"/>
      <c r="D9" s="25"/>
      <c r="E9" s="4"/>
      <c r="F9" s="4"/>
      <c r="G9" s="4"/>
      <c r="H9" s="4"/>
      <c r="I9" s="4"/>
      <c r="J9" s="4"/>
    </row>
    <row r="10" spans="1:10" x14ac:dyDescent="0.35">
      <c r="A10" s="8">
        <f t="array" ref="A10:D13">MMULT(A3:D6,F3:I6)</f>
        <v>1</v>
      </c>
      <c r="B10" s="8">
        <v>1.0685896612017132E-15</v>
      </c>
      <c r="C10" s="8">
        <v>-2.2204460492503131E-16</v>
      </c>
      <c r="D10" s="8">
        <v>-9.4368957093138306E-16</v>
      </c>
      <c r="E10" s="4" t="str">
        <f ca="1">_xlfn.FORMULATEXT(D10)</f>
        <v>{=MMULT(A3:D6,F3:I6)}</v>
      </c>
      <c r="F10" s="4"/>
      <c r="G10" s="4"/>
      <c r="H10" s="4"/>
      <c r="I10" s="4"/>
      <c r="J10" s="4"/>
    </row>
    <row r="11" spans="1:10" x14ac:dyDescent="0.35">
      <c r="A11" s="8">
        <v>0</v>
      </c>
      <c r="B11" s="8">
        <v>1.0000000000000013</v>
      </c>
      <c r="C11" s="8">
        <v>-1.1102230246251565E-16</v>
      </c>
      <c r="D11" s="8">
        <v>2.2204460492503131E-16</v>
      </c>
      <c r="E11" s="4"/>
      <c r="F11" s="4"/>
      <c r="G11" s="4"/>
      <c r="H11" s="4"/>
      <c r="I11" s="4"/>
      <c r="J11" s="4"/>
    </row>
    <row r="12" spans="1:10" x14ac:dyDescent="0.35">
      <c r="A12" s="8">
        <v>6.9388939039072284E-18</v>
      </c>
      <c r="B12" s="8">
        <v>8.3266726846886741E-17</v>
      </c>
      <c r="C12" s="8">
        <v>0.99999999999999989</v>
      </c>
      <c r="D12" s="8">
        <v>5.5511151231257827E-16</v>
      </c>
      <c r="E12" s="4"/>
      <c r="F12" s="4"/>
      <c r="G12" s="4"/>
      <c r="H12" s="4"/>
      <c r="I12" s="4"/>
      <c r="J12" s="4"/>
    </row>
    <row r="13" spans="1:10" x14ac:dyDescent="0.35">
      <c r="A13" s="8">
        <v>1.3877787807814457E-17</v>
      </c>
      <c r="B13" s="8">
        <v>1.1657341758564144E-15</v>
      </c>
      <c r="C13" s="8">
        <v>-4.4408920985006262E-16</v>
      </c>
      <c r="D13" s="8">
        <v>1</v>
      </c>
      <c r="E13" s="4"/>
      <c r="F13" s="4"/>
      <c r="G13" s="4"/>
      <c r="H13" s="4"/>
      <c r="I13" s="4"/>
      <c r="J13" s="4"/>
    </row>
  </sheetData>
  <mergeCells count="5">
    <mergeCell ref="A1:J1"/>
    <mergeCell ref="A2:D2"/>
    <mergeCell ref="F2:I2"/>
    <mergeCell ref="A8:D8"/>
    <mergeCell ref="A9:D9"/>
  </mergeCells>
  <phoneticPr fontId="1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91FCD-4B58-47A8-9F15-989385616D4A}">
  <sheetPr codeName="Sheet7"/>
  <dimension ref="A1:H10"/>
  <sheetViews>
    <sheetView workbookViewId="0">
      <selection activeCell="H21" sqref="H21"/>
    </sheetView>
  </sheetViews>
  <sheetFormatPr defaultRowHeight="13.9" x14ac:dyDescent="0.4"/>
  <sheetData>
    <row r="1" spans="1:8" ht="17.649999999999999" x14ac:dyDescent="0.5">
      <c r="A1" s="22" t="s">
        <v>21</v>
      </c>
      <c r="B1" s="22"/>
      <c r="C1" s="22"/>
      <c r="D1" s="22"/>
      <c r="E1" s="22"/>
      <c r="F1" s="22"/>
      <c r="G1" s="22"/>
      <c r="H1" s="22"/>
    </row>
    <row r="2" spans="1:8" ht="28.15" x14ac:dyDescent="0.35">
      <c r="A2" s="23" t="s">
        <v>22</v>
      </c>
      <c r="B2" s="23"/>
      <c r="C2" s="23"/>
      <c r="D2" s="9"/>
      <c r="E2" s="1" t="s">
        <v>23</v>
      </c>
      <c r="F2" s="9"/>
      <c r="G2" s="1" t="s">
        <v>24</v>
      </c>
      <c r="H2" s="9"/>
    </row>
    <row r="3" spans="1:8" x14ac:dyDescent="0.35">
      <c r="A3" s="4">
        <v>3</v>
      </c>
      <c r="B3" s="4">
        <v>4</v>
      </c>
      <c r="C3" s="4">
        <v>66</v>
      </c>
      <c r="D3" s="4"/>
      <c r="E3" s="4">
        <v>16</v>
      </c>
      <c r="F3" s="4"/>
      <c r="G3" s="7">
        <f t="array" ref="G3:G5">MMULT(MINVERSE(A3:C5),E3:E5)</f>
        <v>0.43428808906678917</v>
      </c>
      <c r="H3" s="4" t="str">
        <f ca="1">_xlfn.FORMULATEXT(G3)</f>
        <v>{=MMULT(MINVERSE(A3:C5),E3:E5)}</v>
      </c>
    </row>
    <row r="4" spans="1:8" x14ac:dyDescent="0.35">
      <c r="A4" s="4">
        <v>0</v>
      </c>
      <c r="B4" s="4">
        <v>-33</v>
      </c>
      <c r="C4" s="4">
        <v>1</v>
      </c>
      <c r="D4" s="4"/>
      <c r="E4" s="4">
        <v>77</v>
      </c>
      <c r="F4" s="4"/>
      <c r="G4" s="7">
        <v>-2.3223202860986256</v>
      </c>
      <c r="H4" s="4"/>
    </row>
    <row r="5" spans="1:8" x14ac:dyDescent="0.35">
      <c r="A5" s="4">
        <v>42</v>
      </c>
      <c r="B5" s="4">
        <v>3</v>
      </c>
      <c r="C5" s="4">
        <v>2</v>
      </c>
      <c r="D5" s="4"/>
      <c r="E5" s="4">
        <v>12</v>
      </c>
      <c r="F5" s="4"/>
      <c r="G5" s="7">
        <v>0.36343055874536567</v>
      </c>
      <c r="H5" s="4"/>
    </row>
    <row r="6" spans="1:8" x14ac:dyDescent="0.35">
      <c r="A6" s="4"/>
      <c r="B6" s="4"/>
      <c r="C6" s="4"/>
      <c r="D6" s="4"/>
      <c r="E6" s="4"/>
      <c r="F6" s="4"/>
      <c r="G6" s="4"/>
      <c r="H6" s="4"/>
    </row>
    <row r="7" spans="1:8" x14ac:dyDescent="0.4">
      <c r="A7" s="6" t="s">
        <v>25</v>
      </c>
      <c r="B7" s="4"/>
      <c r="C7" s="4"/>
      <c r="D7" s="4"/>
      <c r="E7" s="4"/>
      <c r="F7" s="4"/>
      <c r="G7" s="4"/>
      <c r="H7" s="4"/>
    </row>
    <row r="8" spans="1:8" x14ac:dyDescent="0.35">
      <c r="A8" s="4"/>
      <c r="B8" s="5">
        <f t="array" ref="B8:B10">MMULT(A3:C5,G3:G5)</f>
        <v>16</v>
      </c>
      <c r="C8" s="4"/>
      <c r="D8" s="4"/>
      <c r="E8" s="4"/>
      <c r="F8" s="4"/>
      <c r="G8" s="4"/>
      <c r="H8" s="4"/>
    </row>
    <row r="9" spans="1:8" x14ac:dyDescent="0.35">
      <c r="A9" s="4"/>
      <c r="B9" s="5">
        <v>77.000000000000014</v>
      </c>
      <c r="C9" s="4" t="str">
        <f ca="1">_xlfn.FORMULATEXT(B9)</f>
        <v>{=MMULT(A3:C5,G3:G5)}</v>
      </c>
      <c r="D9" s="4"/>
      <c r="E9" s="4"/>
      <c r="F9" s="4"/>
      <c r="G9" s="4"/>
      <c r="H9" s="4"/>
    </row>
    <row r="10" spans="1:8" x14ac:dyDescent="0.35">
      <c r="A10" s="4"/>
      <c r="B10" s="5">
        <v>12</v>
      </c>
      <c r="C10" s="4"/>
      <c r="D10" s="4"/>
      <c r="E10" s="4"/>
      <c r="F10" s="4"/>
      <c r="G10" s="4"/>
      <c r="H10" s="4"/>
    </row>
  </sheetData>
  <mergeCells count="2">
    <mergeCell ref="A1:H1"/>
    <mergeCell ref="A2:C2"/>
  </mergeCells>
  <phoneticPr fontId="1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DD0C7-7503-4377-A4EE-E433AAB937A4}">
  <sheetPr codeName="Sheet8"/>
  <dimension ref="A1:L64"/>
  <sheetViews>
    <sheetView workbookViewId="0">
      <selection activeCell="O13" sqref="O13"/>
    </sheetView>
  </sheetViews>
  <sheetFormatPr defaultRowHeight="13.9" x14ac:dyDescent="0.4"/>
  <cols>
    <col min="1" max="1" width="9.6640625" bestFit="1" customWidth="1"/>
  </cols>
  <sheetData>
    <row r="1" spans="1:12" ht="17.649999999999999" x14ac:dyDescent="0.5">
      <c r="A1" s="28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 ht="27.75" x14ac:dyDescent="0.4">
      <c r="A2" s="10"/>
      <c r="B2" s="11" t="s">
        <v>27</v>
      </c>
      <c r="C2" s="11" t="s">
        <v>28</v>
      </c>
      <c r="D2" s="11" t="s">
        <v>29</v>
      </c>
      <c r="E2" s="11" t="s">
        <v>30</v>
      </c>
      <c r="F2" s="11" t="s">
        <v>31</v>
      </c>
      <c r="G2" s="11" t="s">
        <v>32</v>
      </c>
      <c r="H2" s="11" t="s">
        <v>33</v>
      </c>
      <c r="I2" s="11" t="s">
        <v>34</v>
      </c>
      <c r="J2" s="11" t="s">
        <v>35</v>
      </c>
      <c r="K2" s="11" t="s">
        <v>36</v>
      </c>
      <c r="L2" s="11" t="s">
        <v>37</v>
      </c>
    </row>
    <row r="3" spans="1:12" x14ac:dyDescent="0.4">
      <c r="A3" s="12" t="s">
        <v>38</v>
      </c>
      <c r="B3" s="13" t="s">
        <v>39</v>
      </c>
      <c r="C3" s="13" t="s">
        <v>40</v>
      </c>
      <c r="D3" s="13" t="s">
        <v>41</v>
      </c>
      <c r="E3" s="13" t="s">
        <v>42</v>
      </c>
      <c r="F3" s="13" t="s">
        <v>43</v>
      </c>
      <c r="G3" s="13" t="s">
        <v>44</v>
      </c>
      <c r="H3" s="13" t="s">
        <v>45</v>
      </c>
      <c r="I3" s="13" t="s">
        <v>46</v>
      </c>
      <c r="J3" s="13" t="s">
        <v>47</v>
      </c>
      <c r="K3" s="13" t="s">
        <v>48</v>
      </c>
      <c r="L3" s="13" t="s">
        <v>49</v>
      </c>
    </row>
    <row r="4" spans="1:12" x14ac:dyDescent="0.4">
      <c r="A4" s="14">
        <v>39114</v>
      </c>
      <c r="B4" s="15">
        <v>37.57</v>
      </c>
      <c r="C4" s="15">
        <v>84.74</v>
      </c>
      <c r="D4" s="15">
        <v>44.84</v>
      </c>
      <c r="E4" s="15">
        <v>25.53</v>
      </c>
      <c r="F4" s="15">
        <v>84.61</v>
      </c>
      <c r="G4" s="15">
        <v>43.45</v>
      </c>
      <c r="H4" s="15">
        <v>28.97</v>
      </c>
      <c r="I4" s="15">
        <v>44.68</v>
      </c>
      <c r="J4" s="15">
        <v>19.57</v>
      </c>
      <c r="K4" s="15">
        <v>64.2</v>
      </c>
      <c r="L4" s="15">
        <v>1406.82</v>
      </c>
    </row>
    <row r="5" spans="1:12" x14ac:dyDescent="0.4">
      <c r="A5" s="14">
        <v>39142</v>
      </c>
      <c r="B5" s="15">
        <v>38.74</v>
      </c>
      <c r="C5" s="15">
        <v>94.76</v>
      </c>
      <c r="D5" s="15">
        <v>46.63</v>
      </c>
      <c r="E5" s="15">
        <v>25.26</v>
      </c>
      <c r="F5" s="15">
        <v>92.91</v>
      </c>
      <c r="G5" s="15">
        <v>44.83</v>
      </c>
      <c r="H5" s="15">
        <v>29.34</v>
      </c>
      <c r="I5" s="15">
        <v>44.85</v>
      </c>
      <c r="J5" s="15">
        <v>19.8</v>
      </c>
      <c r="K5" s="15">
        <v>67.58</v>
      </c>
      <c r="L5" s="15">
        <v>1420.86</v>
      </c>
    </row>
    <row r="6" spans="1:12" x14ac:dyDescent="0.4">
      <c r="A6" s="14">
        <v>39174</v>
      </c>
      <c r="B6" s="15">
        <v>41.52</v>
      </c>
      <c r="C6" s="15">
        <v>97.03</v>
      </c>
      <c r="D6" s="15">
        <v>47.1</v>
      </c>
      <c r="E6" s="15">
        <v>27.14</v>
      </c>
      <c r="F6" s="15">
        <v>99.8</v>
      </c>
      <c r="G6" s="15">
        <v>46.12</v>
      </c>
      <c r="H6" s="15">
        <v>30.59</v>
      </c>
      <c r="I6" s="15">
        <v>44.74</v>
      </c>
      <c r="J6" s="15">
        <v>20.74</v>
      </c>
      <c r="K6" s="15">
        <v>71.099999999999994</v>
      </c>
      <c r="L6" s="15">
        <v>1482.37</v>
      </c>
    </row>
    <row r="7" spans="1:12" x14ac:dyDescent="0.4">
      <c r="A7" s="14">
        <v>39203</v>
      </c>
      <c r="B7" s="15">
        <v>43.47</v>
      </c>
      <c r="C7" s="15">
        <v>108.33</v>
      </c>
      <c r="D7" s="15">
        <v>53.19</v>
      </c>
      <c r="E7" s="15">
        <v>27.91</v>
      </c>
      <c r="F7" s="15">
        <v>121.19</v>
      </c>
      <c r="G7" s="15">
        <v>47.31</v>
      </c>
      <c r="H7" s="15">
        <v>31.18</v>
      </c>
      <c r="I7" s="15">
        <v>45.07</v>
      </c>
      <c r="J7" s="15">
        <v>21.78</v>
      </c>
      <c r="K7" s="15">
        <v>74.81</v>
      </c>
      <c r="L7" s="15">
        <v>1530.62</v>
      </c>
    </row>
    <row r="8" spans="1:12" x14ac:dyDescent="0.4">
      <c r="A8" s="14">
        <v>39234</v>
      </c>
      <c r="B8" s="15">
        <v>43.65</v>
      </c>
      <c r="C8" s="15">
        <v>104.1</v>
      </c>
      <c r="D8" s="15">
        <v>55.32</v>
      </c>
      <c r="E8" s="15">
        <v>26.8</v>
      </c>
      <c r="F8" s="15">
        <v>122.04</v>
      </c>
      <c r="G8" s="15">
        <v>45.39</v>
      </c>
      <c r="H8" s="15">
        <v>32</v>
      </c>
      <c r="I8" s="15">
        <v>43.45</v>
      </c>
      <c r="J8" s="15">
        <v>20.260000000000002</v>
      </c>
      <c r="K8" s="15">
        <v>75.45</v>
      </c>
      <c r="L8" s="15">
        <v>1503.35</v>
      </c>
    </row>
    <row r="9" spans="1:12" x14ac:dyDescent="0.4">
      <c r="A9" s="14">
        <v>39265</v>
      </c>
      <c r="B9" s="15">
        <v>41.17</v>
      </c>
      <c r="C9" s="15">
        <v>94.09</v>
      </c>
      <c r="D9" s="15">
        <v>54.1</v>
      </c>
      <c r="E9" s="15">
        <v>26.36</v>
      </c>
      <c r="F9" s="15">
        <v>131.76</v>
      </c>
      <c r="G9" s="15">
        <v>45.41</v>
      </c>
      <c r="H9" s="15">
        <v>32.4</v>
      </c>
      <c r="I9" s="15">
        <v>42.14</v>
      </c>
      <c r="J9" s="15">
        <v>18.63</v>
      </c>
      <c r="K9" s="15">
        <v>76.58</v>
      </c>
      <c r="L9" s="15">
        <v>1455.27</v>
      </c>
    </row>
    <row r="10" spans="1:12" x14ac:dyDescent="0.4">
      <c r="A10" s="14">
        <v>39295</v>
      </c>
      <c r="B10" s="15">
        <v>42.35</v>
      </c>
      <c r="C10" s="15">
        <v>90.65</v>
      </c>
      <c r="D10" s="15">
        <v>58.99</v>
      </c>
      <c r="E10" s="15">
        <v>26.22</v>
      </c>
      <c r="F10" s="15">
        <v>138.47999999999999</v>
      </c>
      <c r="G10" s="15">
        <v>48.42</v>
      </c>
      <c r="H10" s="15">
        <v>32.49</v>
      </c>
      <c r="I10" s="15">
        <v>45.04</v>
      </c>
      <c r="J10" s="15">
        <v>19.920000000000002</v>
      </c>
      <c r="K10" s="15">
        <v>77.42</v>
      </c>
      <c r="L10" s="15">
        <v>1473.99</v>
      </c>
    </row>
    <row r="11" spans="1:12" x14ac:dyDescent="0.4">
      <c r="A11" s="14">
        <v>39329</v>
      </c>
      <c r="B11" s="15">
        <v>46.84</v>
      </c>
      <c r="C11" s="15">
        <v>101.65</v>
      </c>
      <c r="D11" s="15">
        <v>69.819999999999993</v>
      </c>
      <c r="E11" s="15">
        <v>26.88</v>
      </c>
      <c r="F11" s="15">
        <v>153.47</v>
      </c>
      <c r="G11" s="15">
        <v>49.36</v>
      </c>
      <c r="H11" s="15">
        <v>34.840000000000003</v>
      </c>
      <c r="I11" s="15">
        <v>45.24</v>
      </c>
      <c r="J11" s="15">
        <v>19.59</v>
      </c>
      <c r="K11" s="15">
        <v>83.59</v>
      </c>
      <c r="L11" s="15">
        <v>1526.75</v>
      </c>
    </row>
    <row r="12" spans="1:12" x14ac:dyDescent="0.4">
      <c r="A12" s="14">
        <v>39356</v>
      </c>
      <c r="B12" s="15">
        <v>51.38</v>
      </c>
      <c r="C12" s="15">
        <v>103.53</v>
      </c>
      <c r="D12" s="15">
        <v>71.239999999999995</v>
      </c>
      <c r="E12" s="15">
        <v>33.590000000000003</v>
      </c>
      <c r="F12" s="15">
        <v>189.95</v>
      </c>
      <c r="G12" s="15">
        <v>46.53</v>
      </c>
      <c r="H12" s="15">
        <v>34.630000000000003</v>
      </c>
      <c r="I12" s="15">
        <v>43.45</v>
      </c>
      <c r="J12" s="15">
        <v>19.73</v>
      </c>
      <c r="K12" s="15">
        <v>83.08</v>
      </c>
      <c r="L12" s="15">
        <v>1549.38</v>
      </c>
    </row>
    <row r="13" spans="1:12" x14ac:dyDescent="0.4">
      <c r="A13" s="14">
        <v>39387</v>
      </c>
      <c r="B13" s="15">
        <v>51.6</v>
      </c>
      <c r="C13" s="15">
        <v>93.93</v>
      </c>
      <c r="D13" s="15">
        <v>66.069999999999993</v>
      </c>
      <c r="E13" s="15">
        <v>30.76</v>
      </c>
      <c r="F13" s="15">
        <v>182.22</v>
      </c>
      <c r="G13" s="15">
        <v>47.91</v>
      </c>
      <c r="H13" s="15">
        <v>32.22</v>
      </c>
      <c r="I13" s="15">
        <v>41.52</v>
      </c>
      <c r="J13" s="15">
        <v>19.29</v>
      </c>
      <c r="K13" s="15">
        <v>80.83</v>
      </c>
      <c r="L13" s="15">
        <v>1481.14</v>
      </c>
    </row>
    <row r="14" spans="1:12" x14ac:dyDescent="0.4">
      <c r="A14" s="14">
        <v>39419</v>
      </c>
      <c r="B14" s="15">
        <v>51.99</v>
      </c>
      <c r="C14" s="15">
        <v>116.25</v>
      </c>
      <c r="D14" s="15">
        <v>69.23</v>
      </c>
      <c r="E14" s="15">
        <v>32.590000000000003</v>
      </c>
      <c r="F14" s="15">
        <v>198.08</v>
      </c>
      <c r="G14" s="15">
        <v>46.48</v>
      </c>
      <c r="H14" s="15">
        <v>31.46</v>
      </c>
      <c r="I14" s="15">
        <v>37.67</v>
      </c>
      <c r="J14" s="15">
        <v>18.45</v>
      </c>
      <c r="K14" s="15">
        <v>84.94</v>
      </c>
      <c r="L14" s="15">
        <v>1468.36</v>
      </c>
    </row>
    <row r="15" spans="1:12" x14ac:dyDescent="0.4">
      <c r="A15" s="14">
        <v>39449</v>
      </c>
      <c r="B15" s="15">
        <v>47.29</v>
      </c>
      <c r="C15" s="15">
        <v>98.03</v>
      </c>
      <c r="D15" s="15">
        <v>59.42</v>
      </c>
      <c r="E15" s="15">
        <v>29.84</v>
      </c>
      <c r="F15" s="15">
        <v>135.36000000000001</v>
      </c>
      <c r="G15" s="15">
        <v>42.38</v>
      </c>
      <c r="H15" s="15">
        <v>30.01</v>
      </c>
      <c r="I15" s="15">
        <v>40.31</v>
      </c>
      <c r="J15" s="15">
        <v>18.96</v>
      </c>
      <c r="K15" s="15">
        <v>77.7</v>
      </c>
      <c r="L15" s="15">
        <v>1378.55</v>
      </c>
    </row>
    <row r="16" spans="1:12" x14ac:dyDescent="0.4">
      <c r="A16" s="14">
        <v>39479</v>
      </c>
      <c r="B16" s="15">
        <v>48.08</v>
      </c>
      <c r="C16" s="15">
        <v>104.53</v>
      </c>
      <c r="D16" s="15">
        <v>68.040000000000006</v>
      </c>
      <c r="E16" s="15">
        <v>25</v>
      </c>
      <c r="F16" s="15">
        <v>125.02</v>
      </c>
      <c r="G16" s="15">
        <v>45.24</v>
      </c>
      <c r="H16" s="15">
        <v>28.38</v>
      </c>
      <c r="I16" s="15">
        <v>36.28</v>
      </c>
      <c r="J16" s="15">
        <v>18.34</v>
      </c>
      <c r="K16" s="15">
        <v>79.23</v>
      </c>
      <c r="L16" s="15">
        <v>1330.63</v>
      </c>
    </row>
    <row r="17" spans="1:12" x14ac:dyDescent="0.4">
      <c r="A17" s="14">
        <v>39510</v>
      </c>
      <c r="B17" s="15">
        <v>49.56</v>
      </c>
      <c r="C17" s="15">
        <v>122.29</v>
      </c>
      <c r="D17" s="15">
        <v>73.58</v>
      </c>
      <c r="E17" s="15">
        <v>26.08</v>
      </c>
      <c r="F17" s="15">
        <v>143.5</v>
      </c>
      <c r="G17" s="15">
        <v>46.88</v>
      </c>
      <c r="H17" s="15">
        <v>31.69</v>
      </c>
      <c r="I17" s="15">
        <v>35.19</v>
      </c>
      <c r="J17" s="15">
        <v>17.23</v>
      </c>
      <c r="K17" s="15">
        <v>77.010000000000005</v>
      </c>
      <c r="L17" s="15">
        <v>1322.7</v>
      </c>
    </row>
    <row r="18" spans="1:12" x14ac:dyDescent="0.4">
      <c r="A18" s="14">
        <v>39539</v>
      </c>
      <c r="B18" s="15">
        <v>52.94</v>
      </c>
      <c r="C18" s="15">
        <v>148.38999999999999</v>
      </c>
      <c r="D18" s="15">
        <v>80.14</v>
      </c>
      <c r="E18" s="15">
        <v>26.21</v>
      </c>
      <c r="F18" s="15">
        <v>173.95</v>
      </c>
      <c r="G18" s="15">
        <v>45.64</v>
      </c>
      <c r="H18" s="15">
        <v>28</v>
      </c>
      <c r="I18" s="15">
        <v>34.85</v>
      </c>
      <c r="J18" s="15">
        <v>16.55</v>
      </c>
      <c r="K18" s="15">
        <v>84.74</v>
      </c>
      <c r="L18" s="15">
        <v>1385.59</v>
      </c>
    </row>
    <row r="19" spans="1:12" x14ac:dyDescent="0.4">
      <c r="A19" s="14">
        <v>39569</v>
      </c>
      <c r="B19" s="15">
        <v>52.71</v>
      </c>
      <c r="C19" s="15">
        <v>166.72</v>
      </c>
      <c r="D19" s="15">
        <v>89.35</v>
      </c>
      <c r="E19" s="15">
        <v>26.12</v>
      </c>
      <c r="F19" s="15">
        <v>188.75</v>
      </c>
      <c r="G19" s="15">
        <v>46.5</v>
      </c>
      <c r="H19" s="15">
        <v>26.31</v>
      </c>
      <c r="I19" s="15">
        <v>31.57</v>
      </c>
      <c r="J19" s="15">
        <v>16.190000000000001</v>
      </c>
      <c r="K19" s="15">
        <v>81.180000000000007</v>
      </c>
      <c r="L19" s="15">
        <v>1400.38</v>
      </c>
    </row>
    <row r="20" spans="1:12" x14ac:dyDescent="0.4">
      <c r="A20" s="14">
        <v>39601</v>
      </c>
      <c r="B20" s="15">
        <v>50.28</v>
      </c>
      <c r="C20" s="15">
        <v>178.37</v>
      </c>
      <c r="D20" s="15">
        <v>89.45</v>
      </c>
      <c r="E20" s="15">
        <v>25.38</v>
      </c>
      <c r="F20" s="15">
        <v>167.44</v>
      </c>
      <c r="G20" s="15">
        <v>43.09</v>
      </c>
      <c r="H20" s="15">
        <v>23.11</v>
      </c>
      <c r="I20" s="15">
        <v>22.59</v>
      </c>
      <c r="J20" s="15">
        <v>14.61</v>
      </c>
      <c r="K20" s="15">
        <v>80.599999999999994</v>
      </c>
      <c r="L20" s="15">
        <v>1280</v>
      </c>
    </row>
    <row r="21" spans="1:12" x14ac:dyDescent="0.4">
      <c r="A21" s="14">
        <v>39630</v>
      </c>
      <c r="B21" s="15">
        <v>53.47</v>
      </c>
      <c r="C21" s="15">
        <v>154.79</v>
      </c>
      <c r="D21" s="15">
        <v>78.930000000000007</v>
      </c>
      <c r="E21" s="15">
        <v>23.72</v>
      </c>
      <c r="F21" s="15">
        <v>158.94999999999999</v>
      </c>
      <c r="G21" s="15">
        <v>47.62</v>
      </c>
      <c r="H21" s="15">
        <v>24.5</v>
      </c>
      <c r="I21" s="15">
        <v>31.14</v>
      </c>
      <c r="J21" s="15">
        <v>15.61</v>
      </c>
      <c r="K21" s="15">
        <v>73.56</v>
      </c>
      <c r="L21" s="15">
        <v>1267.3800000000001</v>
      </c>
    </row>
    <row r="22" spans="1:12" x14ac:dyDescent="0.4">
      <c r="A22" s="14">
        <v>39661</v>
      </c>
      <c r="B22" s="15">
        <v>55.79</v>
      </c>
      <c r="C22" s="15">
        <v>128.72999999999999</v>
      </c>
      <c r="D22" s="15">
        <v>70.989999999999995</v>
      </c>
      <c r="E22" s="15">
        <v>25.27</v>
      </c>
      <c r="F22" s="15">
        <v>169.53</v>
      </c>
      <c r="G22" s="15">
        <v>49.16</v>
      </c>
      <c r="H22" s="15">
        <v>24.33</v>
      </c>
      <c r="I22" s="15">
        <v>29.48</v>
      </c>
      <c r="J22" s="15">
        <v>16.25</v>
      </c>
      <c r="K22" s="15">
        <v>73.55</v>
      </c>
      <c r="L22" s="15">
        <v>1282.83</v>
      </c>
    </row>
    <row r="23" spans="1:12" x14ac:dyDescent="0.4">
      <c r="A23" s="14">
        <v>39693</v>
      </c>
      <c r="B23" s="15">
        <v>55.52</v>
      </c>
      <c r="C23" s="15">
        <v>75.08</v>
      </c>
      <c r="D23" s="15">
        <v>44.8</v>
      </c>
      <c r="E23" s="15">
        <v>24.72</v>
      </c>
      <c r="F23" s="15">
        <v>113.66</v>
      </c>
      <c r="G23" s="15">
        <v>50.66</v>
      </c>
      <c r="H23" s="15">
        <v>22.38</v>
      </c>
      <c r="I23" s="15">
        <v>33.79</v>
      </c>
      <c r="J23" s="15">
        <v>15.68</v>
      </c>
      <c r="K23" s="15">
        <v>71.39</v>
      </c>
      <c r="L23" s="15">
        <v>1166.3599999999999</v>
      </c>
    </row>
    <row r="24" spans="1:12" x14ac:dyDescent="0.4">
      <c r="A24" s="14">
        <v>39722</v>
      </c>
      <c r="B24" s="15">
        <v>52.13</v>
      </c>
      <c r="C24" s="15">
        <v>35.68</v>
      </c>
      <c r="D24" s="15">
        <v>23.82</v>
      </c>
      <c r="E24" s="15">
        <v>20.68</v>
      </c>
      <c r="F24" s="15">
        <v>107.59</v>
      </c>
      <c r="G24" s="15">
        <v>45.53</v>
      </c>
      <c r="H24" s="15">
        <v>17.12</v>
      </c>
      <c r="I24" s="15">
        <v>23.34</v>
      </c>
      <c r="J24" s="15">
        <v>15.06</v>
      </c>
      <c r="K24" s="15">
        <v>68.14</v>
      </c>
      <c r="L24" s="15">
        <v>968.75</v>
      </c>
    </row>
    <row r="25" spans="1:12" x14ac:dyDescent="0.4">
      <c r="A25" s="14">
        <v>39755</v>
      </c>
      <c r="B25" s="15">
        <v>53.33</v>
      </c>
      <c r="C25" s="15">
        <v>29.69</v>
      </c>
      <c r="D25" s="15">
        <v>21.48</v>
      </c>
      <c r="E25" s="15">
        <v>18.850000000000001</v>
      </c>
      <c r="F25" s="15">
        <v>92.67</v>
      </c>
      <c r="G25" s="15">
        <v>39.22</v>
      </c>
      <c r="H25" s="15">
        <v>15.07</v>
      </c>
      <c r="I25" s="15">
        <v>15.69</v>
      </c>
      <c r="J25" s="15">
        <v>14.21</v>
      </c>
      <c r="K25" s="15">
        <v>74.099999999999994</v>
      </c>
      <c r="L25" s="15">
        <v>896.24</v>
      </c>
    </row>
    <row r="26" spans="1:12" x14ac:dyDescent="0.4">
      <c r="A26" s="14">
        <v>39783</v>
      </c>
      <c r="B26" s="15">
        <v>56.46</v>
      </c>
      <c r="C26" s="15">
        <v>36.33</v>
      </c>
      <c r="D26" s="15">
        <v>22.74</v>
      </c>
      <c r="E26" s="15">
        <v>18.13</v>
      </c>
      <c r="F26" s="15">
        <v>85.35</v>
      </c>
      <c r="G26" s="15">
        <v>39.909999999999997</v>
      </c>
      <c r="H26" s="15">
        <v>14.49</v>
      </c>
      <c r="I26" s="15">
        <v>13.9</v>
      </c>
      <c r="J26" s="15">
        <v>15.32</v>
      </c>
      <c r="K26" s="15">
        <v>73.81</v>
      </c>
      <c r="L26" s="15">
        <v>903.25</v>
      </c>
    </row>
    <row r="27" spans="1:12" x14ac:dyDescent="0.4">
      <c r="A27" s="14">
        <v>39815</v>
      </c>
      <c r="B27" s="15">
        <v>52.67</v>
      </c>
      <c r="C27" s="15">
        <v>29.32</v>
      </c>
      <c r="D27" s="15">
        <v>20.87</v>
      </c>
      <c r="E27" s="15">
        <v>15.94</v>
      </c>
      <c r="F27" s="15">
        <v>90.13</v>
      </c>
      <c r="G27" s="15">
        <v>39.770000000000003</v>
      </c>
      <c r="H27" s="15">
        <v>10.85</v>
      </c>
      <c r="I27" s="15">
        <v>6.5</v>
      </c>
      <c r="J27" s="15">
        <v>12.61</v>
      </c>
      <c r="K27" s="15">
        <v>70.709999999999994</v>
      </c>
      <c r="L27" s="15">
        <v>825.88</v>
      </c>
    </row>
    <row r="28" spans="1:12" x14ac:dyDescent="0.4">
      <c r="A28" s="14">
        <v>39846</v>
      </c>
      <c r="B28" s="15">
        <v>47.87</v>
      </c>
      <c r="C28" s="15">
        <v>19.38</v>
      </c>
      <c r="D28" s="15">
        <v>18.02</v>
      </c>
      <c r="E28" s="15">
        <v>15.16</v>
      </c>
      <c r="F28" s="15">
        <v>89.31</v>
      </c>
      <c r="G28" s="15">
        <v>35.74</v>
      </c>
      <c r="H28" s="15">
        <v>7.84</v>
      </c>
      <c r="I28" s="15">
        <v>3.9</v>
      </c>
      <c r="J28" s="15">
        <v>10.88</v>
      </c>
      <c r="K28" s="15">
        <v>63.09</v>
      </c>
      <c r="L28" s="15">
        <v>735.09</v>
      </c>
    </row>
    <row r="29" spans="1:12" x14ac:dyDescent="0.4">
      <c r="A29" s="14">
        <v>39874</v>
      </c>
      <c r="B29" s="15">
        <v>50</v>
      </c>
      <c r="C29" s="15">
        <v>20.81</v>
      </c>
      <c r="D29" s="15">
        <v>18.690000000000001</v>
      </c>
      <c r="E29" s="15">
        <v>17.25</v>
      </c>
      <c r="F29" s="15">
        <v>105.12</v>
      </c>
      <c r="G29" s="15">
        <v>33.64</v>
      </c>
      <c r="H29" s="15">
        <v>9.31</v>
      </c>
      <c r="I29" s="15">
        <v>6.75</v>
      </c>
      <c r="J29" s="15">
        <v>12.04</v>
      </c>
      <c r="K29" s="15">
        <v>63.28</v>
      </c>
      <c r="L29" s="15">
        <v>797.87</v>
      </c>
    </row>
    <row r="30" spans="1:12" x14ac:dyDescent="0.4">
      <c r="A30" s="14">
        <v>39904</v>
      </c>
      <c r="B30" s="15">
        <v>48.83</v>
      </c>
      <c r="C30" s="15">
        <v>26.15</v>
      </c>
      <c r="D30" s="15">
        <v>21.99</v>
      </c>
      <c r="E30" s="15">
        <v>19.02</v>
      </c>
      <c r="F30" s="15">
        <v>125.83</v>
      </c>
      <c r="G30" s="15">
        <v>38.67</v>
      </c>
      <c r="H30" s="15">
        <v>11.65</v>
      </c>
      <c r="I30" s="15">
        <v>8.84</v>
      </c>
      <c r="J30" s="15">
        <v>11.81</v>
      </c>
      <c r="K30" s="15">
        <v>61.95</v>
      </c>
      <c r="L30" s="15">
        <v>872.81</v>
      </c>
    </row>
    <row r="31" spans="1:12" x14ac:dyDescent="0.4">
      <c r="A31" s="14">
        <v>39934</v>
      </c>
      <c r="B31" s="15">
        <v>54.05</v>
      </c>
      <c r="C31" s="15">
        <v>33.630000000000003</v>
      </c>
      <c r="D31" s="15">
        <v>31.13</v>
      </c>
      <c r="E31" s="15">
        <v>19.739999999999998</v>
      </c>
      <c r="F31" s="15">
        <v>135.81</v>
      </c>
      <c r="G31" s="15">
        <v>40.03</v>
      </c>
      <c r="H31" s="15">
        <v>12.41</v>
      </c>
      <c r="I31" s="15">
        <v>11.16</v>
      </c>
      <c r="J31" s="15">
        <v>13.58</v>
      </c>
      <c r="K31" s="15">
        <v>64.83</v>
      </c>
      <c r="L31" s="15">
        <v>919.14</v>
      </c>
    </row>
    <row r="32" spans="1:12" x14ac:dyDescent="0.4">
      <c r="A32" s="14">
        <v>39965</v>
      </c>
      <c r="B32" s="15">
        <v>53.11</v>
      </c>
      <c r="C32" s="15">
        <v>35.26</v>
      </c>
      <c r="D32" s="15">
        <v>31.04</v>
      </c>
      <c r="E32" s="15">
        <v>22.46</v>
      </c>
      <c r="F32" s="15">
        <v>142.43</v>
      </c>
      <c r="G32" s="15">
        <v>43.1</v>
      </c>
      <c r="H32" s="15">
        <v>10.88</v>
      </c>
      <c r="I32" s="15">
        <v>13.08</v>
      </c>
      <c r="J32" s="15">
        <v>13.41</v>
      </c>
      <c r="K32" s="15">
        <v>65.349999999999994</v>
      </c>
      <c r="L32" s="15">
        <v>919.32</v>
      </c>
    </row>
    <row r="33" spans="1:12" x14ac:dyDescent="0.4">
      <c r="A33" s="14">
        <v>39995</v>
      </c>
      <c r="B33" s="15">
        <v>50.86</v>
      </c>
      <c r="C33" s="15">
        <v>39.22</v>
      </c>
      <c r="D33" s="15">
        <v>33.82</v>
      </c>
      <c r="E33" s="15">
        <v>22.22</v>
      </c>
      <c r="F33" s="15">
        <v>163.38999999999999</v>
      </c>
      <c r="G33" s="15">
        <v>43.96</v>
      </c>
      <c r="H33" s="15">
        <v>12.44</v>
      </c>
      <c r="I33" s="15">
        <v>14.66</v>
      </c>
      <c r="J33" s="15">
        <v>14.24</v>
      </c>
      <c r="K33" s="15">
        <v>65.8</v>
      </c>
      <c r="L33" s="15">
        <v>987.48</v>
      </c>
    </row>
    <row r="34" spans="1:12" x14ac:dyDescent="0.4">
      <c r="A34" s="14">
        <v>40028</v>
      </c>
      <c r="B34" s="15">
        <v>52.41</v>
      </c>
      <c r="C34" s="15">
        <v>43.24</v>
      </c>
      <c r="D34" s="15">
        <v>33.61</v>
      </c>
      <c r="E34" s="15">
        <v>23.42</v>
      </c>
      <c r="F34" s="15">
        <v>168.21</v>
      </c>
      <c r="G34" s="15">
        <v>43.93</v>
      </c>
      <c r="H34" s="15">
        <v>12.9</v>
      </c>
      <c r="I34" s="15">
        <v>17.43</v>
      </c>
      <c r="J34" s="15">
        <v>15.08</v>
      </c>
      <c r="K34" s="15">
        <v>65.03</v>
      </c>
      <c r="L34" s="15">
        <v>1020.62</v>
      </c>
    </row>
    <row r="35" spans="1:12" x14ac:dyDescent="0.4">
      <c r="A35" s="14">
        <v>40057</v>
      </c>
      <c r="B35" s="15">
        <v>53.19</v>
      </c>
      <c r="C35" s="15">
        <v>43.83</v>
      </c>
      <c r="D35" s="15">
        <v>35.03</v>
      </c>
      <c r="E35" s="15">
        <v>24.44</v>
      </c>
      <c r="F35" s="15">
        <v>185.35</v>
      </c>
      <c r="G35" s="15">
        <v>45.93</v>
      </c>
      <c r="H35" s="15">
        <v>15.33</v>
      </c>
      <c r="I35" s="15">
        <v>16.78</v>
      </c>
      <c r="J35" s="15">
        <v>14.94</v>
      </c>
      <c r="K35" s="15">
        <v>64.53</v>
      </c>
      <c r="L35" s="15">
        <v>1057.08</v>
      </c>
    </row>
    <row r="36" spans="1:12" x14ac:dyDescent="0.4">
      <c r="A36" s="14">
        <v>40087</v>
      </c>
      <c r="B36" s="15">
        <v>54.62</v>
      </c>
      <c r="C36" s="15">
        <v>34.07</v>
      </c>
      <c r="D36" s="15">
        <v>32.090000000000003</v>
      </c>
      <c r="E36" s="15">
        <v>26.34</v>
      </c>
      <c r="F36" s="15">
        <v>188.5</v>
      </c>
      <c r="G36" s="15">
        <v>48.09</v>
      </c>
      <c r="H36" s="15">
        <v>13.32</v>
      </c>
      <c r="I36" s="15">
        <v>14.46</v>
      </c>
      <c r="J36" s="15">
        <v>15.37</v>
      </c>
      <c r="K36" s="15">
        <v>67.400000000000006</v>
      </c>
      <c r="L36" s="15">
        <v>1036.19</v>
      </c>
    </row>
    <row r="37" spans="1:12" x14ac:dyDescent="0.4">
      <c r="A37" s="14">
        <v>40119</v>
      </c>
      <c r="B37" s="15">
        <v>59.45</v>
      </c>
      <c r="C37" s="15">
        <v>44.17</v>
      </c>
      <c r="D37" s="15">
        <v>37.229999999999997</v>
      </c>
      <c r="E37" s="15">
        <v>28.06</v>
      </c>
      <c r="F37" s="15">
        <v>199.91</v>
      </c>
      <c r="G37" s="15">
        <v>49.41</v>
      </c>
      <c r="H37" s="15">
        <v>14.96</v>
      </c>
      <c r="I37" s="15">
        <v>15.72</v>
      </c>
      <c r="J37" s="15">
        <v>16.559999999999999</v>
      </c>
      <c r="K37" s="15">
        <v>71.010000000000005</v>
      </c>
      <c r="L37" s="15">
        <v>1095.6300000000001</v>
      </c>
    </row>
    <row r="38" spans="1:12" x14ac:dyDescent="0.4">
      <c r="A38" s="14">
        <v>40148</v>
      </c>
      <c r="B38" s="15">
        <v>58.69</v>
      </c>
      <c r="C38" s="15">
        <v>54.52</v>
      </c>
      <c r="D38" s="15">
        <v>43.37</v>
      </c>
      <c r="E38" s="15">
        <v>29.09</v>
      </c>
      <c r="F38" s="15">
        <v>210.73</v>
      </c>
      <c r="G38" s="15">
        <v>49.99</v>
      </c>
      <c r="H38" s="15">
        <v>14.22</v>
      </c>
      <c r="I38" s="15">
        <v>14.94</v>
      </c>
      <c r="J38" s="15">
        <v>16.579999999999998</v>
      </c>
      <c r="K38" s="15">
        <v>64.5</v>
      </c>
      <c r="L38" s="15">
        <v>1115.0999999999999</v>
      </c>
    </row>
    <row r="39" spans="1:12" x14ac:dyDescent="0.4">
      <c r="A39" s="14">
        <v>40182</v>
      </c>
      <c r="B39" s="15">
        <v>58.68</v>
      </c>
      <c r="C39" s="15">
        <v>43.95</v>
      </c>
      <c r="D39" s="15">
        <v>36.67</v>
      </c>
      <c r="E39" s="15">
        <v>26.89</v>
      </c>
      <c r="F39" s="15">
        <v>192.06</v>
      </c>
      <c r="G39" s="15">
        <v>51.14</v>
      </c>
      <c r="H39" s="15">
        <v>15.11</v>
      </c>
      <c r="I39" s="15">
        <v>15.06</v>
      </c>
      <c r="J39" s="15">
        <v>17.010000000000002</v>
      </c>
      <c r="K39" s="15">
        <v>60.95</v>
      </c>
      <c r="L39" s="15">
        <v>1073.8699999999999</v>
      </c>
    </row>
    <row r="40" spans="1:12" x14ac:dyDescent="0.4">
      <c r="A40" s="14">
        <v>40210</v>
      </c>
      <c r="B40" s="15">
        <v>60.53</v>
      </c>
      <c r="C40" s="15">
        <v>52.42</v>
      </c>
      <c r="D40" s="15">
        <v>36.4</v>
      </c>
      <c r="E40" s="15">
        <v>27.49</v>
      </c>
      <c r="F40" s="15">
        <v>204.62</v>
      </c>
      <c r="G40" s="15">
        <v>49.36</v>
      </c>
      <c r="H40" s="15">
        <v>15.19</v>
      </c>
      <c r="I40" s="15">
        <v>16.53</v>
      </c>
      <c r="J40" s="15">
        <v>16.149999999999999</v>
      </c>
      <c r="K40" s="15">
        <v>61.89</v>
      </c>
      <c r="L40" s="15">
        <v>1104.49</v>
      </c>
    </row>
    <row r="41" spans="1:12" x14ac:dyDescent="0.4">
      <c r="A41" s="14">
        <v>40238</v>
      </c>
      <c r="B41" s="15">
        <v>63.25</v>
      </c>
      <c r="C41" s="15">
        <v>62.9</v>
      </c>
      <c r="D41" s="15">
        <v>41.82</v>
      </c>
      <c r="E41" s="15">
        <v>28.08</v>
      </c>
      <c r="F41" s="15">
        <v>235</v>
      </c>
      <c r="G41" s="15">
        <v>50.57</v>
      </c>
      <c r="H41" s="15">
        <v>17.21</v>
      </c>
      <c r="I41" s="15">
        <v>17.72</v>
      </c>
      <c r="J41" s="15">
        <v>15.78</v>
      </c>
      <c r="K41" s="15">
        <v>63.77</v>
      </c>
      <c r="L41" s="15">
        <v>1169.43</v>
      </c>
    </row>
    <row r="42" spans="1:12" x14ac:dyDescent="0.4">
      <c r="A42" s="14">
        <v>40269</v>
      </c>
      <c r="B42" s="15">
        <v>66.92</v>
      </c>
      <c r="C42" s="15">
        <v>54.12</v>
      </c>
      <c r="D42" s="15">
        <v>36.99</v>
      </c>
      <c r="E42" s="15">
        <v>29.28</v>
      </c>
      <c r="F42" s="15">
        <v>261.08999999999997</v>
      </c>
      <c r="G42" s="15">
        <v>52</v>
      </c>
      <c r="H42" s="15">
        <v>17.84</v>
      </c>
      <c r="I42" s="15">
        <v>17.7</v>
      </c>
      <c r="J42" s="15">
        <v>15.38</v>
      </c>
      <c r="K42" s="15">
        <v>64.52</v>
      </c>
      <c r="L42" s="15">
        <v>1186.69</v>
      </c>
    </row>
    <row r="43" spans="1:12" x14ac:dyDescent="0.4">
      <c r="A43" s="14">
        <v>40301</v>
      </c>
      <c r="B43" s="15">
        <v>63.92</v>
      </c>
      <c r="C43" s="15">
        <v>46.79</v>
      </c>
      <c r="D43" s="15">
        <v>29.07</v>
      </c>
      <c r="E43" s="15">
        <v>24.85</v>
      </c>
      <c r="F43" s="15">
        <v>256.88</v>
      </c>
      <c r="G43" s="15">
        <v>50.93</v>
      </c>
      <c r="H43" s="15">
        <v>15.46</v>
      </c>
      <c r="I43" s="15">
        <v>15.63</v>
      </c>
      <c r="J43" s="15">
        <v>14.16</v>
      </c>
      <c r="K43" s="15">
        <v>57.96</v>
      </c>
      <c r="L43" s="15">
        <v>1089.4100000000001</v>
      </c>
    </row>
    <row r="44" spans="1:12" x14ac:dyDescent="0.4">
      <c r="A44" s="14">
        <v>40330</v>
      </c>
      <c r="B44" s="15">
        <v>62.97</v>
      </c>
      <c r="C44" s="15">
        <v>38.21</v>
      </c>
      <c r="D44" s="15">
        <v>25.65</v>
      </c>
      <c r="E44" s="15">
        <v>22.16</v>
      </c>
      <c r="F44" s="15">
        <v>251.53</v>
      </c>
      <c r="G44" s="15">
        <v>47.95</v>
      </c>
      <c r="H44" s="15">
        <v>13.72</v>
      </c>
      <c r="I44" s="15">
        <v>14.28</v>
      </c>
      <c r="J44" s="15">
        <v>13.26</v>
      </c>
      <c r="K44" s="15">
        <v>54.71</v>
      </c>
      <c r="L44" s="15">
        <v>1030.71</v>
      </c>
    </row>
    <row r="45" spans="1:12" x14ac:dyDescent="0.4">
      <c r="A45" s="14">
        <v>40360</v>
      </c>
      <c r="B45" s="15">
        <v>66.66</v>
      </c>
      <c r="C45" s="15">
        <v>43.94</v>
      </c>
      <c r="D45" s="15">
        <v>29.43</v>
      </c>
      <c r="E45" s="15">
        <v>24.86</v>
      </c>
      <c r="F45" s="15">
        <v>257.25</v>
      </c>
      <c r="G45" s="15">
        <v>47.71</v>
      </c>
      <c r="H45" s="15">
        <v>15.34</v>
      </c>
      <c r="I45" s="15">
        <v>13.95</v>
      </c>
      <c r="J45" s="15">
        <v>13.95</v>
      </c>
      <c r="K45" s="15">
        <v>57.21</v>
      </c>
      <c r="L45" s="15">
        <v>1101.5999999999999</v>
      </c>
    </row>
    <row r="46" spans="1:12" x14ac:dyDescent="0.4">
      <c r="A46" s="14">
        <v>40392</v>
      </c>
      <c r="B46" s="15">
        <v>70.36</v>
      </c>
      <c r="C46" s="15">
        <v>42.16</v>
      </c>
      <c r="D46" s="15">
        <v>27.96</v>
      </c>
      <c r="E46" s="15">
        <v>22.72</v>
      </c>
      <c r="F46" s="15">
        <v>243.1</v>
      </c>
      <c r="G46" s="15">
        <v>47.74</v>
      </c>
      <c r="H46" s="15">
        <v>13.78</v>
      </c>
      <c r="I46" s="15">
        <v>12.38</v>
      </c>
      <c r="J46" s="15">
        <v>14.96</v>
      </c>
      <c r="K46" s="15">
        <v>57.07</v>
      </c>
      <c r="L46" s="15">
        <v>1049.33</v>
      </c>
    </row>
    <row r="47" spans="1:12" x14ac:dyDescent="0.4">
      <c r="A47" s="14">
        <v>40422</v>
      </c>
      <c r="B47" s="15">
        <v>71.760000000000005</v>
      </c>
      <c r="C47" s="15">
        <v>43.5</v>
      </c>
      <c r="D47" s="15">
        <v>31.81</v>
      </c>
      <c r="E47" s="15">
        <v>23.71</v>
      </c>
      <c r="F47" s="15">
        <v>283.75</v>
      </c>
      <c r="G47" s="15">
        <v>48.53</v>
      </c>
      <c r="H47" s="15">
        <v>15.58</v>
      </c>
      <c r="I47" s="15">
        <v>13.03</v>
      </c>
      <c r="J47" s="15">
        <v>16.14</v>
      </c>
      <c r="K47" s="15">
        <v>59.65</v>
      </c>
      <c r="L47" s="15">
        <v>1141.2</v>
      </c>
    </row>
    <row r="48" spans="1:12" x14ac:dyDescent="0.4">
      <c r="A48" s="14">
        <v>40452</v>
      </c>
      <c r="B48" s="15">
        <v>74.900000000000006</v>
      </c>
      <c r="C48" s="15">
        <v>42.39</v>
      </c>
      <c r="D48" s="15">
        <v>31.24</v>
      </c>
      <c r="E48" s="15">
        <v>25.82</v>
      </c>
      <c r="F48" s="15">
        <v>300.98</v>
      </c>
      <c r="G48" s="15">
        <v>48.29</v>
      </c>
      <c r="H48" s="15">
        <v>15.36</v>
      </c>
      <c r="I48" s="15">
        <v>11.39</v>
      </c>
      <c r="J48" s="15">
        <v>16.38</v>
      </c>
      <c r="K48" s="15">
        <v>64.19</v>
      </c>
      <c r="L48" s="15">
        <v>1183.26</v>
      </c>
    </row>
    <row r="49" spans="1:12" x14ac:dyDescent="0.4">
      <c r="A49" s="14">
        <v>40483</v>
      </c>
      <c r="B49" s="15">
        <v>76</v>
      </c>
      <c r="C49" s="15">
        <v>48.28</v>
      </c>
      <c r="D49" s="15">
        <v>30.73</v>
      </c>
      <c r="E49" s="15">
        <v>24.61</v>
      </c>
      <c r="F49" s="15">
        <v>311.14999999999998</v>
      </c>
      <c r="G49" s="15">
        <v>47.7</v>
      </c>
      <c r="H49" s="15">
        <v>15.18</v>
      </c>
      <c r="I49" s="15">
        <v>10.89</v>
      </c>
      <c r="J49" s="15">
        <v>15.48</v>
      </c>
      <c r="K49" s="15">
        <v>67.58</v>
      </c>
      <c r="L49" s="15">
        <v>1180.55</v>
      </c>
    </row>
    <row r="50" spans="1:12" x14ac:dyDescent="0.4">
      <c r="A50" s="14">
        <v>40513</v>
      </c>
      <c r="B50" s="15">
        <v>74.510000000000005</v>
      </c>
      <c r="C50" s="15">
        <v>58.02</v>
      </c>
      <c r="D50" s="15">
        <v>36.99</v>
      </c>
      <c r="E50" s="15">
        <v>27.19</v>
      </c>
      <c r="F50" s="15">
        <v>322.56</v>
      </c>
      <c r="G50" s="15">
        <v>49.49</v>
      </c>
      <c r="H50" s="15">
        <v>17.670000000000002</v>
      </c>
      <c r="I50" s="15">
        <v>13.28</v>
      </c>
      <c r="J50" s="15">
        <v>16.63</v>
      </c>
      <c r="K50" s="15">
        <v>71.040000000000006</v>
      </c>
      <c r="L50" s="15">
        <v>1257.6400000000001</v>
      </c>
    </row>
    <row r="51" spans="1:12" x14ac:dyDescent="0.4">
      <c r="A51" s="14">
        <v>40546</v>
      </c>
      <c r="B51" s="15">
        <v>71.510000000000005</v>
      </c>
      <c r="C51" s="15">
        <v>57.28</v>
      </c>
      <c r="D51" s="15">
        <v>35.380000000000003</v>
      </c>
      <c r="E51" s="15">
        <v>27.01</v>
      </c>
      <c r="F51" s="15">
        <v>339.32</v>
      </c>
      <c r="G51" s="15">
        <v>48.73</v>
      </c>
      <c r="H51" s="15">
        <v>19.46</v>
      </c>
      <c r="I51" s="15">
        <v>13.66</v>
      </c>
      <c r="J51" s="15">
        <v>17.3</v>
      </c>
      <c r="K51" s="15">
        <v>78.38</v>
      </c>
      <c r="L51" s="15">
        <v>1286.1199999999999</v>
      </c>
    </row>
    <row r="52" spans="1:12" x14ac:dyDescent="0.4">
      <c r="A52" s="14">
        <v>40575</v>
      </c>
      <c r="B52" s="15">
        <v>74.06</v>
      </c>
      <c r="C52" s="15">
        <v>57.15</v>
      </c>
      <c r="D52" s="15">
        <v>35.75</v>
      </c>
      <c r="E52" s="15">
        <v>26.05</v>
      </c>
      <c r="F52" s="15">
        <v>353.21</v>
      </c>
      <c r="G52" s="15">
        <v>52.29</v>
      </c>
      <c r="H52" s="15">
        <v>20.350000000000001</v>
      </c>
      <c r="I52" s="15">
        <v>14.22</v>
      </c>
      <c r="J52" s="15">
        <v>18.47</v>
      </c>
      <c r="K52" s="15">
        <v>83.53</v>
      </c>
      <c r="L52" s="15">
        <v>1327.22</v>
      </c>
    </row>
    <row r="53" spans="1:12" x14ac:dyDescent="0.4">
      <c r="A53" s="14">
        <v>40603</v>
      </c>
      <c r="B53" s="15">
        <v>74.459999999999994</v>
      </c>
      <c r="C53" s="15">
        <v>53.62</v>
      </c>
      <c r="D53" s="15">
        <v>35.24</v>
      </c>
      <c r="E53" s="15">
        <v>24.88</v>
      </c>
      <c r="F53" s="15">
        <v>348.51</v>
      </c>
      <c r="G53" s="15">
        <v>52.7</v>
      </c>
      <c r="H53" s="15">
        <v>19.510000000000002</v>
      </c>
      <c r="I53" s="15">
        <v>13.28</v>
      </c>
      <c r="J53" s="15">
        <v>19.489999999999998</v>
      </c>
      <c r="K53" s="15">
        <v>82.16</v>
      </c>
      <c r="L53" s="15">
        <v>1325.83</v>
      </c>
    </row>
    <row r="54" spans="1:12" x14ac:dyDescent="0.4">
      <c r="A54" s="14">
        <v>40634</v>
      </c>
      <c r="B54" s="15">
        <v>76.63</v>
      </c>
      <c r="C54" s="15">
        <v>47.43</v>
      </c>
      <c r="D54" s="15">
        <v>36.14</v>
      </c>
      <c r="E54" s="15">
        <v>25.4</v>
      </c>
      <c r="F54" s="15">
        <v>350.13</v>
      </c>
      <c r="G54" s="15">
        <v>55.91</v>
      </c>
      <c r="H54" s="15">
        <v>19.899999999999999</v>
      </c>
      <c r="I54" s="15">
        <v>12.23</v>
      </c>
      <c r="J54" s="15">
        <v>20.13</v>
      </c>
      <c r="K54" s="15">
        <v>85.92</v>
      </c>
      <c r="L54" s="15">
        <v>1363.61</v>
      </c>
    </row>
    <row r="55" spans="1:12" x14ac:dyDescent="0.4">
      <c r="A55" s="14">
        <v>40665</v>
      </c>
      <c r="B55" s="15">
        <v>80.39</v>
      </c>
      <c r="C55" s="15">
        <v>45.89</v>
      </c>
      <c r="D55" s="15">
        <v>32.79</v>
      </c>
      <c r="E55" s="15">
        <v>24.67</v>
      </c>
      <c r="F55" s="15">
        <v>347.83</v>
      </c>
      <c r="G55" s="15">
        <v>56.04</v>
      </c>
      <c r="H55" s="15">
        <v>19.11</v>
      </c>
      <c r="I55" s="15">
        <v>11.7</v>
      </c>
      <c r="J55" s="15">
        <v>20.79</v>
      </c>
      <c r="K55" s="15">
        <v>81.98</v>
      </c>
      <c r="L55" s="15">
        <v>1345.2</v>
      </c>
    </row>
    <row r="56" spans="1:12" x14ac:dyDescent="0.4">
      <c r="A56" s="14">
        <v>40695</v>
      </c>
      <c r="B56" s="15">
        <v>83.13</v>
      </c>
      <c r="C56" s="15">
        <v>45.82</v>
      </c>
      <c r="D56" s="15">
        <v>34.08</v>
      </c>
      <c r="E56" s="15">
        <v>25.64</v>
      </c>
      <c r="F56" s="15">
        <v>335.67</v>
      </c>
      <c r="G56" s="15">
        <v>54.4</v>
      </c>
      <c r="H56" s="15">
        <v>18.5</v>
      </c>
      <c r="I56" s="15">
        <v>10.92</v>
      </c>
      <c r="J56" s="15">
        <v>19.96</v>
      </c>
      <c r="K56" s="15">
        <v>79.930000000000007</v>
      </c>
      <c r="L56" s="15">
        <v>1320.64</v>
      </c>
    </row>
    <row r="57" spans="1:12" x14ac:dyDescent="0.4">
      <c r="A57" s="14">
        <v>40725</v>
      </c>
      <c r="B57" s="15">
        <v>85.26</v>
      </c>
      <c r="C57" s="15">
        <v>39.799999999999997</v>
      </c>
      <c r="D57" s="15">
        <v>30.54</v>
      </c>
      <c r="E57" s="15">
        <v>27.02</v>
      </c>
      <c r="F57" s="15">
        <v>390.48</v>
      </c>
      <c r="G57" s="15">
        <v>54.85</v>
      </c>
      <c r="H57" s="15">
        <v>17.57</v>
      </c>
      <c r="I57" s="15">
        <v>9.68</v>
      </c>
      <c r="J57" s="15">
        <v>18.649999999999999</v>
      </c>
      <c r="K57" s="15">
        <v>78.37</v>
      </c>
      <c r="L57" s="15">
        <v>1292.28</v>
      </c>
    </row>
    <row r="58" spans="1:12" x14ac:dyDescent="0.4">
      <c r="A58" s="14">
        <v>40756</v>
      </c>
      <c r="B58" s="15">
        <v>89.74</v>
      </c>
      <c r="C58" s="15">
        <v>30.01</v>
      </c>
      <c r="D58" s="15">
        <v>21.74</v>
      </c>
      <c r="E58" s="15">
        <v>26.4</v>
      </c>
      <c r="F58" s="15">
        <v>384.83</v>
      </c>
      <c r="G58" s="15">
        <v>53.84</v>
      </c>
      <c r="H58" s="15">
        <v>16</v>
      </c>
      <c r="I58" s="15">
        <v>8.15</v>
      </c>
      <c r="J58" s="15">
        <v>18.600000000000001</v>
      </c>
      <c r="K58" s="15">
        <v>73.180000000000007</v>
      </c>
      <c r="L58" s="15">
        <v>1218.8900000000001</v>
      </c>
    </row>
    <row r="59" spans="1:12" x14ac:dyDescent="0.4">
      <c r="A59" s="14">
        <v>40787</v>
      </c>
      <c r="B59" s="15">
        <v>87.16</v>
      </c>
      <c r="C59" s="15">
        <v>21.94</v>
      </c>
      <c r="D59" s="15">
        <v>15.74</v>
      </c>
      <c r="E59" s="15">
        <v>24.7</v>
      </c>
      <c r="F59" s="15">
        <v>381.32</v>
      </c>
      <c r="G59" s="15">
        <v>52.72</v>
      </c>
      <c r="H59" s="15">
        <v>15.07</v>
      </c>
      <c r="I59" s="15">
        <v>6.11</v>
      </c>
      <c r="J59" s="15">
        <v>17.32</v>
      </c>
      <c r="K59" s="15">
        <v>71.81</v>
      </c>
      <c r="L59" s="15">
        <v>1131.42</v>
      </c>
    </row>
    <row r="60" spans="1:12" x14ac:dyDescent="0.4">
      <c r="A60" s="14">
        <v>40819</v>
      </c>
      <c r="B60" s="15">
        <v>92.16</v>
      </c>
      <c r="C60" s="15">
        <v>25.27</v>
      </c>
      <c r="D60" s="15">
        <v>20.51</v>
      </c>
      <c r="E60" s="15">
        <v>26.43</v>
      </c>
      <c r="F60" s="15">
        <v>404.78</v>
      </c>
      <c r="G60" s="15">
        <v>53.73</v>
      </c>
      <c r="H60" s="15">
        <v>16.55</v>
      </c>
      <c r="I60" s="15">
        <v>6.82</v>
      </c>
      <c r="J60" s="15">
        <v>18.87</v>
      </c>
      <c r="K60" s="15">
        <v>77.2</v>
      </c>
      <c r="L60" s="15">
        <v>1253.3</v>
      </c>
    </row>
    <row r="61" spans="1:12" x14ac:dyDescent="0.4">
      <c r="A61" s="14">
        <v>40848</v>
      </c>
      <c r="B61" s="15">
        <v>95.52</v>
      </c>
      <c r="C61" s="15">
        <v>27.26</v>
      </c>
      <c r="D61" s="15">
        <v>18.89</v>
      </c>
      <c r="E61" s="15">
        <v>25.58</v>
      </c>
      <c r="F61" s="15">
        <v>382.2</v>
      </c>
      <c r="G61" s="15">
        <v>49.16</v>
      </c>
      <c r="H61" s="15">
        <v>15.76</v>
      </c>
      <c r="I61" s="15">
        <v>5.44</v>
      </c>
      <c r="J61" s="15">
        <v>19.86</v>
      </c>
      <c r="K61" s="15">
        <v>80</v>
      </c>
      <c r="L61" s="15">
        <v>1246.96</v>
      </c>
    </row>
    <row r="62" spans="1:12" x14ac:dyDescent="0.4">
      <c r="A62" s="14">
        <v>40878</v>
      </c>
      <c r="B62" s="15">
        <v>100.33</v>
      </c>
      <c r="C62" s="15">
        <v>26.42</v>
      </c>
      <c r="D62" s="15">
        <v>18.190000000000001</v>
      </c>
      <c r="E62" s="15">
        <v>25.96</v>
      </c>
      <c r="F62" s="15">
        <v>405</v>
      </c>
      <c r="G62" s="15">
        <v>50.57</v>
      </c>
      <c r="H62" s="15">
        <v>17.91</v>
      </c>
      <c r="I62" s="15">
        <v>5.56</v>
      </c>
      <c r="J62" s="15">
        <v>21.42</v>
      </c>
      <c r="K62" s="15">
        <v>84.3</v>
      </c>
      <c r="L62" s="15">
        <v>1257.5999999999999</v>
      </c>
    </row>
    <row r="63" spans="1:12" x14ac:dyDescent="0.4">
      <c r="A63" s="14">
        <v>40911</v>
      </c>
      <c r="B63" s="15">
        <v>99.05</v>
      </c>
      <c r="C63" s="15">
        <v>30.14</v>
      </c>
      <c r="D63" s="15">
        <v>20.52</v>
      </c>
      <c r="E63" s="15">
        <v>29.53</v>
      </c>
      <c r="F63" s="15">
        <v>456.48</v>
      </c>
      <c r="G63" s="15">
        <v>49.52</v>
      </c>
      <c r="H63" s="15">
        <v>18.71</v>
      </c>
      <c r="I63" s="15">
        <v>7.13</v>
      </c>
      <c r="J63" s="15">
        <v>21.18</v>
      </c>
      <c r="K63" s="15">
        <v>83.28</v>
      </c>
      <c r="L63" s="15">
        <v>1312.41</v>
      </c>
    </row>
    <row r="64" spans="1:12" x14ac:dyDescent="0.4">
      <c r="A64" s="14">
        <v>40940</v>
      </c>
      <c r="B64" s="15">
        <v>99.99</v>
      </c>
      <c r="C64" s="15">
        <v>31.01</v>
      </c>
      <c r="D64" s="15">
        <v>23.3</v>
      </c>
      <c r="E64" s="15">
        <v>30.77</v>
      </c>
      <c r="F64" s="15">
        <v>493.17</v>
      </c>
      <c r="G64" s="15">
        <v>50.21</v>
      </c>
      <c r="H64" s="15">
        <v>19.13</v>
      </c>
      <c r="I64" s="15">
        <v>8.18</v>
      </c>
      <c r="J64" s="15">
        <v>21.14</v>
      </c>
      <c r="K64" s="15">
        <v>84.88</v>
      </c>
      <c r="L64" s="15">
        <v>1351.95</v>
      </c>
    </row>
  </sheetData>
  <mergeCells count="1">
    <mergeCell ref="A1:L1"/>
  </mergeCells>
  <phoneticPr fontId="1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FE827-1EDA-4D1F-A923-038E35695BAC}">
  <sheetPr codeName="Sheet9"/>
  <dimension ref="A1:K63"/>
  <sheetViews>
    <sheetView topLeftCell="A32" workbookViewId="0">
      <selection activeCell="N13" sqref="N13"/>
    </sheetView>
  </sheetViews>
  <sheetFormatPr defaultRowHeight="13.9" x14ac:dyDescent="0.4"/>
  <cols>
    <col min="1" max="1" width="9.6640625" bestFit="1" customWidth="1"/>
  </cols>
  <sheetData>
    <row r="1" spans="1:11" ht="17.649999999999999" x14ac:dyDescent="0.5">
      <c r="A1" s="28" t="s">
        <v>50</v>
      </c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7.75" x14ac:dyDescent="0.4">
      <c r="A2" s="10"/>
      <c r="B2" s="11" t="s">
        <v>27</v>
      </c>
      <c r="C2" s="11" t="s">
        <v>28</v>
      </c>
      <c r="D2" s="11" t="s">
        <v>29</v>
      </c>
      <c r="E2" s="11" t="s">
        <v>30</v>
      </c>
      <c r="F2" s="11" t="s">
        <v>31</v>
      </c>
      <c r="G2" s="11" t="s">
        <v>32</v>
      </c>
      <c r="H2" s="11" t="s">
        <v>33</v>
      </c>
      <c r="I2" s="11" t="s">
        <v>34</v>
      </c>
      <c r="J2" s="11" t="s">
        <v>35</v>
      </c>
      <c r="K2" s="11" t="s">
        <v>36</v>
      </c>
    </row>
    <row r="3" spans="1:11" x14ac:dyDescent="0.4">
      <c r="A3" s="12" t="s">
        <v>38</v>
      </c>
      <c r="B3" s="13" t="s">
        <v>39</v>
      </c>
      <c r="C3" s="13" t="s">
        <v>40</v>
      </c>
      <c r="D3" s="13" t="s">
        <v>41</v>
      </c>
      <c r="E3" s="13" t="s">
        <v>42</v>
      </c>
      <c r="F3" s="13" t="s">
        <v>43</v>
      </c>
      <c r="G3" s="13" t="s">
        <v>44</v>
      </c>
      <c r="H3" s="13" t="s">
        <v>45</v>
      </c>
      <c r="I3" s="13" t="s">
        <v>46</v>
      </c>
      <c r="J3" s="13" t="s">
        <v>47</v>
      </c>
      <c r="K3" s="13" t="s">
        <v>48</v>
      </c>
    </row>
    <row r="4" spans="1:11" x14ac:dyDescent="0.4">
      <c r="A4" s="14">
        <v>39142</v>
      </c>
      <c r="B4" s="16">
        <f>LN(Sheet8!B5/Sheet8!B4)</f>
        <v>3.0666798392972323E-2</v>
      </c>
      <c r="C4" s="16">
        <f>LN(Sheet8!C5/Sheet8!C4)</f>
        <v>0.11175963409217177</v>
      </c>
      <c r="D4" s="16">
        <f>LN(Sheet8!D5/Sheet8!D4)</f>
        <v>3.9143512616270304E-2</v>
      </c>
      <c r="E4" s="16">
        <f>LN(Sheet8!E5/Sheet8!E4)</f>
        <v>-1.0632114331047441E-2</v>
      </c>
      <c r="F4" s="16">
        <f>LN(Sheet8!F5/Sheet8!F4)</f>
        <v>9.3578819716811493E-2</v>
      </c>
      <c r="G4" s="16">
        <f>LN(Sheet8!G5/Sheet8!G4)</f>
        <v>3.1266706455946876E-2</v>
      </c>
      <c r="H4" s="16">
        <f>LN(Sheet8!H5/Sheet8!H4)</f>
        <v>1.2690960933576646E-2</v>
      </c>
      <c r="I4" s="16">
        <f>LN(Sheet8!I5/Sheet8!I4)</f>
        <v>3.7976143038051541E-3</v>
      </c>
      <c r="J4" s="16">
        <f>LN(Sheet8!J5/Sheet8!J4)</f>
        <v>1.1684156292504777E-2</v>
      </c>
      <c r="K4" s="16">
        <f>LN(Sheet8!K5/Sheet8!K4)</f>
        <v>5.1308870590228227E-2</v>
      </c>
    </row>
    <row r="5" spans="1:11" x14ac:dyDescent="0.4">
      <c r="A5" s="14">
        <v>39174</v>
      </c>
      <c r="B5" s="16">
        <f>LN(Sheet8!B6/Sheet8!B5)</f>
        <v>6.9302580878783424E-2</v>
      </c>
      <c r="C5" s="16">
        <f>LN(Sheet8!C6/Sheet8!C5)</f>
        <v>2.3672829746623356E-2</v>
      </c>
      <c r="D5" s="16">
        <f>LN(Sheet8!D6/Sheet8!D5)</f>
        <v>1.0028890202142629E-2</v>
      </c>
      <c r="E5" s="16">
        <f>LN(Sheet8!E6/Sheet8!E5)</f>
        <v>7.1786537484377994E-2</v>
      </c>
      <c r="F5" s="16">
        <f>LN(Sheet8!F6/Sheet8!F5)</f>
        <v>7.1536900664197101E-2</v>
      </c>
      <c r="G5" s="16">
        <f>LN(Sheet8!G6/Sheet8!G5)</f>
        <v>2.8369137233510023E-2</v>
      </c>
      <c r="H5" s="16">
        <f>LN(Sheet8!H6/Sheet8!H5)</f>
        <v>4.1721385447976503E-2</v>
      </c>
      <c r="I5" s="16">
        <f>LN(Sheet8!I6/Sheet8!I5)</f>
        <v>-2.4556324428215812E-3</v>
      </c>
      <c r="J5" s="16">
        <f>LN(Sheet8!J6/Sheet8!J5)</f>
        <v>4.638226510089169E-2</v>
      </c>
      <c r="K5" s="16">
        <f>LN(Sheet8!K6/Sheet8!K5)</f>
        <v>5.0775255523051253E-2</v>
      </c>
    </row>
    <row r="6" spans="1:11" x14ac:dyDescent="0.4">
      <c r="A6" s="14">
        <v>39203</v>
      </c>
      <c r="B6" s="16">
        <f>LN(Sheet8!B7/Sheet8!B6)</f>
        <v>4.5895806143067354E-2</v>
      </c>
      <c r="C6" s="16">
        <f>LN(Sheet8!C7/Sheet8!C6)</f>
        <v>0.11016191492026799</v>
      </c>
      <c r="D6" s="16">
        <f>LN(Sheet8!D7/Sheet8!D6)</f>
        <v>0.12159740773185403</v>
      </c>
      <c r="E6" s="16">
        <f>LN(Sheet8!E7/Sheet8!E6)</f>
        <v>2.7976393141507655E-2</v>
      </c>
      <c r="F6" s="16">
        <f>LN(Sheet8!F7/Sheet8!F6)</f>
        <v>0.19419137866297773</v>
      </c>
      <c r="G6" s="16">
        <f>LN(Sheet8!G7/Sheet8!G6)</f>
        <v>2.5474994242198484E-2</v>
      </c>
      <c r="H6" s="16">
        <f>LN(Sheet8!H7/Sheet8!H6)</f>
        <v>1.9103705466818267E-2</v>
      </c>
      <c r="I6" s="16">
        <f>LN(Sheet8!I7/Sheet8!I6)</f>
        <v>7.3488806405732172E-3</v>
      </c>
      <c r="J6" s="16">
        <f>LN(Sheet8!J7/Sheet8!J6)</f>
        <v>4.8927914703433231E-2</v>
      </c>
      <c r="K6" s="16">
        <f>LN(Sheet8!K7/Sheet8!K6)</f>
        <v>5.0864229075118499E-2</v>
      </c>
    </row>
    <row r="7" spans="1:11" x14ac:dyDescent="0.4">
      <c r="A7" s="14">
        <v>39234</v>
      </c>
      <c r="B7" s="16">
        <f>LN(Sheet8!B8/Sheet8!B7)</f>
        <v>4.1322372849105912E-3</v>
      </c>
      <c r="C7" s="16">
        <f>LN(Sheet8!C8/Sheet8!C7)</f>
        <v>-3.9830148336552879E-2</v>
      </c>
      <c r="D7" s="16">
        <f>LN(Sheet8!D8/Sheet8!D7)</f>
        <v>3.9264098042331302E-2</v>
      </c>
      <c r="E7" s="16">
        <f>LN(Sheet8!E8/Sheet8!E7)</f>
        <v>-4.0583160031419832E-2</v>
      </c>
      <c r="F7" s="16">
        <f>LN(Sheet8!F8/Sheet8!F7)</f>
        <v>6.9892978680730199E-3</v>
      </c>
      <c r="G7" s="16">
        <f>LN(Sheet8!G8/Sheet8!G7)</f>
        <v>-4.1429873174682483E-2</v>
      </c>
      <c r="H7" s="16">
        <f>LN(Sheet8!H8/Sheet8!H7)</f>
        <v>2.5959039170096145E-2</v>
      </c>
      <c r="I7" s="16">
        <f>LN(Sheet8!I8/Sheet8!I7)</f>
        <v>-3.6605984991155763E-2</v>
      </c>
      <c r="J7" s="16">
        <f>LN(Sheet8!J8/Sheet8!J7)</f>
        <v>-7.234361868427705E-2</v>
      </c>
      <c r="K7" s="16">
        <f>LN(Sheet8!K8/Sheet8!K7)</f>
        <v>8.5186193295443725E-3</v>
      </c>
    </row>
    <row r="8" spans="1:11" x14ac:dyDescent="0.4">
      <c r="A8" s="14">
        <v>39265</v>
      </c>
      <c r="B8" s="16">
        <f>LN(Sheet8!B9/Sheet8!B8)</f>
        <v>-5.84934465037978E-2</v>
      </c>
      <c r="C8" s="16">
        <f>LN(Sheet8!C9/Sheet8!C8)</f>
        <v>-0.10110020460224878</v>
      </c>
      <c r="D8" s="16">
        <f>LN(Sheet8!D9/Sheet8!D8)</f>
        <v>-2.2300320944121637E-2</v>
      </c>
      <c r="E8" s="16">
        <f>LN(Sheet8!E9/Sheet8!E8)</f>
        <v>-1.6554177882504528E-2</v>
      </c>
      <c r="F8" s="16">
        <f>LN(Sheet8!F9/Sheet8!F8)</f>
        <v>7.6633226020915893E-2</v>
      </c>
      <c r="G8" s="16">
        <f>LN(Sheet8!G9/Sheet8!G8)</f>
        <v>4.4052864148534838E-4</v>
      </c>
      <c r="H8" s="16">
        <f>LN(Sheet8!H9/Sheet8!H8)</f>
        <v>1.242251999855711E-2</v>
      </c>
      <c r="I8" s="16">
        <f>LN(Sheet8!I9/Sheet8!I8)</f>
        <v>-3.061344333535811E-2</v>
      </c>
      <c r="J8" s="16">
        <f>LN(Sheet8!J9/Sheet8!J8)</f>
        <v>-8.3875314207040391E-2</v>
      </c>
      <c r="K8" s="16">
        <f>LN(Sheet8!K9/Sheet8!K8)</f>
        <v>1.4865760835290539E-2</v>
      </c>
    </row>
    <row r="9" spans="1:11" x14ac:dyDescent="0.4">
      <c r="A9" s="14">
        <v>39295</v>
      </c>
      <c r="B9" s="16">
        <f>LN(Sheet8!B10/Sheet8!B9)</f>
        <v>2.8258585316250008E-2</v>
      </c>
      <c r="C9" s="16">
        <f>LN(Sheet8!C10/Sheet8!C9)</f>
        <v>-3.7245833817814163E-2</v>
      </c>
      <c r="D9" s="16">
        <f>LN(Sheet8!D10/Sheet8!D9)</f>
        <v>8.6533752162548161E-2</v>
      </c>
      <c r="E9" s="16">
        <f>LN(Sheet8!E10/Sheet8!E9)</f>
        <v>-5.3252312987526803E-3</v>
      </c>
      <c r="F9" s="16">
        <f>LN(Sheet8!F10/Sheet8!F9)</f>
        <v>4.9743824998568914E-2</v>
      </c>
      <c r="G9" s="16">
        <f>LN(Sheet8!G10/Sheet8!G9)</f>
        <v>6.4180606400052728E-2</v>
      </c>
      <c r="H9" s="16">
        <f>LN(Sheet8!H10/Sheet8!H9)</f>
        <v>2.773926882725446E-3</v>
      </c>
      <c r="I9" s="16">
        <f>LN(Sheet8!I10/Sheet8!I9)</f>
        <v>6.6553575455391867E-2</v>
      </c>
      <c r="J9" s="16">
        <f>LN(Sheet8!J10/Sheet8!J9)</f>
        <v>6.695106754295517E-2</v>
      </c>
      <c r="K9" s="16">
        <f>LN(Sheet8!K10/Sheet8!K9)</f>
        <v>1.0909199100353531E-2</v>
      </c>
    </row>
    <row r="10" spans="1:11" x14ac:dyDescent="0.4">
      <c r="A10" s="14">
        <v>39329</v>
      </c>
      <c r="B10" s="16">
        <f>LN(Sheet8!B11/Sheet8!B10)</f>
        <v>0.10076911763145326</v>
      </c>
      <c r="C10" s="16">
        <f>LN(Sheet8!C11/Sheet8!C10)</f>
        <v>0.11452960287349565</v>
      </c>
      <c r="D10" s="16">
        <f>LN(Sheet8!D11/Sheet8!D10)</f>
        <v>0.16855256366190594</v>
      </c>
      <c r="E10" s="16">
        <f>LN(Sheet8!E11/Sheet8!E10)</f>
        <v>2.486003731939504E-2</v>
      </c>
      <c r="F10" s="16">
        <f>LN(Sheet8!F11/Sheet8!F10)</f>
        <v>0.10277919731904972</v>
      </c>
      <c r="G10" s="16">
        <f>LN(Sheet8!G11/Sheet8!G10)</f>
        <v>1.9227428087219847E-2</v>
      </c>
      <c r="H10" s="16">
        <f>LN(Sheet8!H11/Sheet8!H10)</f>
        <v>6.9833802303293085E-2</v>
      </c>
      <c r="I10" s="16">
        <f>LN(Sheet8!I11/Sheet8!I10)</f>
        <v>4.4306674164848962E-3</v>
      </c>
      <c r="J10" s="16">
        <f>LN(Sheet8!J11/Sheet8!J10)</f>
        <v>-1.6705020200002887E-2</v>
      </c>
      <c r="K10" s="16">
        <f>LN(Sheet8!K11/Sheet8!K10)</f>
        <v>7.6678750561562647E-2</v>
      </c>
    </row>
    <row r="11" spans="1:11" x14ac:dyDescent="0.4">
      <c r="A11" s="14">
        <v>39356</v>
      </c>
      <c r="B11" s="16">
        <f>LN(Sheet8!B12/Sheet8!B11)</f>
        <v>9.2511452952220907E-2</v>
      </c>
      <c r="C11" s="16">
        <f>LN(Sheet8!C12/Sheet8!C11)</f>
        <v>1.8325885703666039E-2</v>
      </c>
      <c r="D11" s="16">
        <f>LN(Sheet8!D12/Sheet8!D11)</f>
        <v>2.0133956744570893E-2</v>
      </c>
      <c r="E11" s="16">
        <f>LN(Sheet8!E12/Sheet8!E11)</f>
        <v>0.22284588796925264</v>
      </c>
      <c r="F11" s="16">
        <f>LN(Sheet8!F12/Sheet8!F11)</f>
        <v>0.21325577144663097</v>
      </c>
      <c r="G11" s="16">
        <f>LN(Sheet8!G12/Sheet8!G11)</f>
        <v>-5.9043113740575179E-2</v>
      </c>
      <c r="H11" s="16">
        <f>LN(Sheet8!H12/Sheet8!H11)</f>
        <v>-6.0457935699714744E-3</v>
      </c>
      <c r="I11" s="16">
        <f>LN(Sheet8!I12/Sheet8!I11)</f>
        <v>-4.0370799536518627E-2</v>
      </c>
      <c r="J11" s="16">
        <f>LN(Sheet8!J12/Sheet8!J11)</f>
        <v>7.1210880780745549E-3</v>
      </c>
      <c r="K11" s="16">
        <f>LN(Sheet8!K12/Sheet8!K11)</f>
        <v>-6.1198967031532315E-3</v>
      </c>
    </row>
    <row r="12" spans="1:11" x14ac:dyDescent="0.4">
      <c r="A12" s="14">
        <v>39387</v>
      </c>
      <c r="B12" s="16">
        <f>LN(Sheet8!B13/Sheet8!B12)</f>
        <v>4.2726808057795473E-3</v>
      </c>
      <c r="C12" s="16">
        <f>LN(Sheet8!C13/Sheet8!C12)</f>
        <v>-9.7311601771597631E-2</v>
      </c>
      <c r="D12" s="16">
        <f>LN(Sheet8!D13/Sheet8!D12)</f>
        <v>-7.5339672379666558E-2</v>
      </c>
      <c r="E12" s="16">
        <f>LN(Sheet8!E13/Sheet8!E12)</f>
        <v>-8.8013258986758172E-2</v>
      </c>
      <c r="F12" s="16">
        <f>LN(Sheet8!F13/Sheet8!F12)</f>
        <v>-4.1546131347922108E-2</v>
      </c>
      <c r="G12" s="16">
        <f>LN(Sheet8!G13/Sheet8!G12)</f>
        <v>2.9226985038473534E-2</v>
      </c>
      <c r="H12" s="16">
        <f>LN(Sheet8!H13/Sheet8!H12)</f>
        <v>-7.213298066550243E-2</v>
      </c>
      <c r="I12" s="16">
        <f>LN(Sheet8!I13/Sheet8!I12)</f>
        <v>-4.5435612853767807E-2</v>
      </c>
      <c r="J12" s="16">
        <f>LN(Sheet8!J13/Sheet8!J12)</f>
        <v>-2.2553493116886293E-2</v>
      </c>
      <c r="K12" s="16">
        <f>LN(Sheet8!K13/Sheet8!K12)</f>
        <v>-2.7455815262158602E-2</v>
      </c>
    </row>
    <row r="13" spans="1:11" x14ac:dyDescent="0.4">
      <c r="A13" s="14">
        <v>39419</v>
      </c>
      <c r="B13" s="16">
        <f>LN(Sheet8!B14/Sheet8!B13)</f>
        <v>7.5297199081074554E-3</v>
      </c>
      <c r="C13" s="16">
        <f>LN(Sheet8!C14/Sheet8!C13)</f>
        <v>0.21319322046104167</v>
      </c>
      <c r="D13" s="16">
        <f>LN(Sheet8!D14/Sheet8!D13)</f>
        <v>4.6719508648139792E-2</v>
      </c>
      <c r="E13" s="16">
        <f>LN(Sheet8!E14/Sheet8!E13)</f>
        <v>5.7790348212027019E-2</v>
      </c>
      <c r="F13" s="16">
        <f>LN(Sheet8!F14/Sheet8!F13)</f>
        <v>8.3456241210519033E-2</v>
      </c>
      <c r="G13" s="16">
        <f>LN(Sheet8!G14/Sheet8!G13)</f>
        <v>-3.0302138351374956E-2</v>
      </c>
      <c r="H13" s="16">
        <f>LN(Sheet8!H14/Sheet8!H13)</f>
        <v>-2.3870480118696528E-2</v>
      </c>
      <c r="I13" s="16">
        <f>LN(Sheet8!I14/Sheet8!I13)</f>
        <v>-9.7311217153683474E-2</v>
      </c>
      <c r="J13" s="16">
        <f>LN(Sheet8!J14/Sheet8!J13)</f>
        <v>-4.4522456431101462E-2</v>
      </c>
      <c r="K13" s="16">
        <f>LN(Sheet8!K14/Sheet8!K13)</f>
        <v>4.9596941139372186E-2</v>
      </c>
    </row>
    <row r="14" spans="1:11" x14ac:dyDescent="0.4">
      <c r="A14" s="14">
        <v>39449</v>
      </c>
      <c r="B14" s="16">
        <f>LN(Sheet8!B15/Sheet8!B14)</f>
        <v>-9.4752535739840008E-2</v>
      </c>
      <c r="C14" s="16">
        <f>LN(Sheet8!C15/Sheet8!C14)</f>
        <v>-0.17046949019383084</v>
      </c>
      <c r="D14" s="16">
        <f>LN(Sheet8!D15/Sheet8!D14)</f>
        <v>-0.15280342465547256</v>
      </c>
      <c r="E14" s="16">
        <f>LN(Sheet8!E15/Sheet8!E14)</f>
        <v>-8.8155717513910187E-2</v>
      </c>
      <c r="F14" s="16">
        <f>LN(Sheet8!F15/Sheet8!F14)</f>
        <v>-0.38073309363831809</v>
      </c>
      <c r="G14" s="16">
        <f>LN(Sheet8!G15/Sheet8!G14)</f>
        <v>-9.234555970350268E-2</v>
      </c>
      <c r="H14" s="16">
        <f>LN(Sheet8!H15/Sheet8!H14)</f>
        <v>-4.7186238177856027E-2</v>
      </c>
      <c r="I14" s="16">
        <f>LN(Sheet8!I15/Sheet8!I14)</f>
        <v>6.7735555425124827E-2</v>
      </c>
      <c r="J14" s="16">
        <f>LN(Sheet8!J15/Sheet8!J14)</f>
        <v>2.7267126340339721E-2</v>
      </c>
      <c r="K14" s="16">
        <f>LN(Sheet8!K15/Sheet8!K14)</f>
        <v>-8.9089867511523285E-2</v>
      </c>
    </row>
    <row r="15" spans="1:11" x14ac:dyDescent="0.4">
      <c r="A15" s="14">
        <v>39479</v>
      </c>
      <c r="B15" s="16">
        <f>LN(Sheet8!B16/Sheet8!B15)</f>
        <v>1.6567433571167682E-2</v>
      </c>
      <c r="C15" s="16">
        <f>LN(Sheet8!C16/Sheet8!C15)</f>
        <v>6.4200557270981007E-2</v>
      </c>
      <c r="D15" s="16">
        <f>LN(Sheet8!D16/Sheet8!D15)</f>
        <v>0.13546489749319951</v>
      </c>
      <c r="E15" s="16">
        <f>LN(Sheet8!E16/Sheet8!E15)</f>
        <v>-0.17697395046735934</v>
      </c>
      <c r="F15" s="16">
        <f>LN(Sheet8!F16/Sheet8!F15)</f>
        <v>-7.9464171354247048E-2</v>
      </c>
      <c r="G15" s="16">
        <f>LN(Sheet8!G16/Sheet8!G15)</f>
        <v>6.5305098407766743E-2</v>
      </c>
      <c r="H15" s="16">
        <f>LN(Sheet8!H16/Sheet8!H15)</f>
        <v>-5.5845987720379228E-2</v>
      </c>
      <c r="I15" s="16">
        <f>LN(Sheet8!I16/Sheet8!I15)</f>
        <v>-0.10533295188213865</v>
      </c>
      <c r="J15" s="16">
        <f>LN(Sheet8!J16/Sheet8!J15)</f>
        <v>-3.3247029998557061E-2</v>
      </c>
      <c r="K15" s="16">
        <f>LN(Sheet8!K16/Sheet8!K15)</f>
        <v>1.9499757603548898E-2</v>
      </c>
    </row>
    <row r="16" spans="1:11" x14ac:dyDescent="0.4">
      <c r="A16" s="14">
        <v>39510</v>
      </c>
      <c r="B16" s="16">
        <f>LN(Sheet8!B17/Sheet8!B16)</f>
        <v>3.0317766533989748E-2</v>
      </c>
      <c r="C16" s="16">
        <f>LN(Sheet8!C17/Sheet8!C16)</f>
        <v>0.15692116165666281</v>
      </c>
      <c r="D16" s="16">
        <f>LN(Sheet8!D17/Sheet8!D16)</f>
        <v>7.8277482148967167E-2</v>
      </c>
      <c r="E16" s="16">
        <f>LN(Sheet8!E17/Sheet8!E16)</f>
        <v>4.2292912190251365E-2</v>
      </c>
      <c r="F16" s="16">
        <f>LN(Sheet8!F17/Sheet8!F16)</f>
        <v>0.13786131069600946</v>
      </c>
      <c r="G16" s="16">
        <f>LN(Sheet8!G17/Sheet8!G16)</f>
        <v>3.5609494020837566E-2</v>
      </c>
      <c r="H16" s="16">
        <f>LN(Sheet8!H17/Sheet8!H16)</f>
        <v>0.1103165019709328</v>
      </c>
      <c r="I16" s="16">
        <f>LN(Sheet8!I17/Sheet8!I16)</f>
        <v>-3.050467391344221E-2</v>
      </c>
      <c r="J16" s="16">
        <f>LN(Sheet8!J17/Sheet8!J16)</f>
        <v>-6.2432416288480536E-2</v>
      </c>
      <c r="K16" s="16">
        <f>LN(Sheet8!K17/Sheet8!K16)</f>
        <v>-2.8419731425991804E-2</v>
      </c>
    </row>
    <row r="17" spans="1:11" x14ac:dyDescent="0.4">
      <c r="A17" s="14">
        <v>39539</v>
      </c>
      <c r="B17" s="16">
        <f>LN(Sheet8!B18/Sheet8!B17)</f>
        <v>6.5975140038013455E-2</v>
      </c>
      <c r="C17" s="16">
        <f>LN(Sheet8!C18/Sheet8!C17)</f>
        <v>0.19344866981675635</v>
      </c>
      <c r="D17" s="16">
        <f>LN(Sheet8!D18/Sheet8!D17)</f>
        <v>8.5401855531370308E-2</v>
      </c>
      <c r="E17" s="16">
        <f>LN(Sheet8!E18/Sheet8!E17)</f>
        <v>4.9722802768628234E-3</v>
      </c>
      <c r="F17" s="16">
        <f>LN(Sheet8!F18/Sheet8!F17)</f>
        <v>0.1924328663982752</v>
      </c>
      <c r="G17" s="16">
        <f>LN(Sheet8!G18/Sheet8!G17)</f>
        <v>-2.680662027488229E-2</v>
      </c>
      <c r="H17" s="16">
        <f>LN(Sheet8!H18/Sheet8!H17)</f>
        <v>-0.12379666352762551</v>
      </c>
      <c r="I17" s="16">
        <f>LN(Sheet8!I18/Sheet8!I17)</f>
        <v>-9.7088141269608269E-3</v>
      </c>
      <c r="J17" s="16">
        <f>LN(Sheet8!J18/Sheet8!J17)</f>
        <v>-4.0265948716766267E-2</v>
      </c>
      <c r="K17" s="16">
        <f>LN(Sheet8!K18/Sheet8!K17)</f>
        <v>9.56524616472543E-2</v>
      </c>
    </row>
    <row r="18" spans="1:11" x14ac:dyDescent="0.4">
      <c r="A18" s="14">
        <v>39569</v>
      </c>
      <c r="B18" s="16">
        <f>LN(Sheet8!B19/Sheet8!B18)</f>
        <v>-4.3540059318396716E-3</v>
      </c>
      <c r="C18" s="16">
        <f>LN(Sheet8!C19/Sheet8!C18)</f>
        <v>0.11647181554696708</v>
      </c>
      <c r="D18" s="16">
        <f>LN(Sheet8!D19/Sheet8!D18)</f>
        <v>0.10878613639743842</v>
      </c>
      <c r="E18" s="16">
        <f>LN(Sheet8!E19/Sheet8!E18)</f>
        <v>-3.4397129270846327E-3</v>
      </c>
      <c r="F18" s="16">
        <f>LN(Sheet8!F19/Sheet8!F18)</f>
        <v>8.1655486531183152E-2</v>
      </c>
      <c r="G18" s="16">
        <f>LN(Sheet8!G19/Sheet8!G18)</f>
        <v>1.8667787599435819E-2</v>
      </c>
      <c r="H18" s="16">
        <f>LN(Sheet8!H19/Sheet8!H18)</f>
        <v>-6.2255415123002589E-2</v>
      </c>
      <c r="I18" s="16">
        <f>LN(Sheet8!I19/Sheet8!I18)</f>
        <v>-9.8845834636632601E-2</v>
      </c>
      <c r="J18" s="16">
        <f>LN(Sheet8!J19/Sheet8!J18)</f>
        <v>-2.1992334133528142E-2</v>
      </c>
      <c r="K18" s="16">
        <f>LN(Sheet8!K19/Sheet8!K18)</f>
        <v>-4.2918833787661391E-2</v>
      </c>
    </row>
    <row r="19" spans="1:11" x14ac:dyDescent="0.4">
      <c r="A19" s="14">
        <v>39601</v>
      </c>
      <c r="B19" s="16">
        <f>LN(Sheet8!B20/Sheet8!B19)</f>
        <v>-4.7197807145068882E-2</v>
      </c>
      <c r="C19" s="16">
        <f>LN(Sheet8!C20/Sheet8!C19)</f>
        <v>6.7544286005209953E-2</v>
      </c>
      <c r="D19" s="16">
        <f>LN(Sheet8!D20/Sheet8!D19)</f>
        <v>1.1185683492913195E-3</v>
      </c>
      <c r="E19" s="16">
        <f>LN(Sheet8!E20/Sheet8!E19)</f>
        <v>-2.8739842121988799E-2</v>
      </c>
      <c r="F19" s="16">
        <f>LN(Sheet8!F20/Sheet8!F19)</f>
        <v>-0.1197983099913898</v>
      </c>
      <c r="G19" s="16">
        <f>LN(Sheet8!G20/Sheet8!G19)</f>
        <v>-7.6161360965563904E-2</v>
      </c>
      <c r="H19" s="16">
        <f>LN(Sheet8!H20/Sheet8!H19)</f>
        <v>-0.12968367076591197</v>
      </c>
      <c r="I19" s="16">
        <f>LN(Sheet8!I20/Sheet8!I19)</f>
        <v>-0.33469997208998836</v>
      </c>
      <c r="J19" s="16">
        <f>LN(Sheet8!J20/Sheet8!J19)</f>
        <v>-0.1026875419269358</v>
      </c>
      <c r="K19" s="16">
        <f>LN(Sheet8!K20/Sheet8!K19)</f>
        <v>-7.1702618981692662E-3</v>
      </c>
    </row>
    <row r="20" spans="1:11" x14ac:dyDescent="0.4">
      <c r="A20" s="14">
        <v>39630</v>
      </c>
      <c r="B20" s="16">
        <f>LN(Sheet8!B21/Sheet8!B20)</f>
        <v>6.1513365238593382E-2</v>
      </c>
      <c r="C20" s="16">
        <f>LN(Sheet8!C21/Sheet8!C20)</f>
        <v>-0.14179068498442599</v>
      </c>
      <c r="D20" s="16">
        <f>LN(Sheet8!D21/Sheet8!D20)</f>
        <v>-0.1251184262344171</v>
      </c>
      <c r="E20" s="16">
        <f>LN(Sheet8!E21/Sheet8!E20)</f>
        <v>-6.7642888156716888E-2</v>
      </c>
      <c r="F20" s="16">
        <f>LN(Sheet8!F21/Sheet8!F20)</f>
        <v>-5.2035390780932597E-2</v>
      </c>
      <c r="G20" s="16">
        <f>LN(Sheet8!G21/Sheet8!G20)</f>
        <v>9.9961889430970008E-2</v>
      </c>
      <c r="H20" s="16">
        <f>LN(Sheet8!H21/Sheet8!H20)</f>
        <v>5.8407693264391977E-2</v>
      </c>
      <c r="I20" s="16">
        <f>LN(Sheet8!I21/Sheet8!I20)</f>
        <v>0.32098583592594043</v>
      </c>
      <c r="J20" s="16">
        <f>LN(Sheet8!J21/Sheet8!J20)</f>
        <v>6.6205508764732635E-2</v>
      </c>
      <c r="K20" s="16">
        <f>LN(Sheet8!K21/Sheet8!K20)</f>
        <v>-9.1397249776462214E-2</v>
      </c>
    </row>
    <row r="21" spans="1:11" x14ac:dyDescent="0.4">
      <c r="A21" s="14">
        <v>39661</v>
      </c>
      <c r="B21" s="16">
        <f>LN(Sheet8!B22/Sheet8!B21)</f>
        <v>4.2473892896796754E-2</v>
      </c>
      <c r="C21" s="16">
        <f>LN(Sheet8!C22/Sheet8!C21)</f>
        <v>-0.18435217191424313</v>
      </c>
      <c r="D21" s="16">
        <f>LN(Sheet8!D22/Sheet8!D21)</f>
        <v>-0.10602236166901667</v>
      </c>
      <c r="E21" s="16">
        <f>LN(Sheet8!E22/Sheet8!E21)</f>
        <v>6.3299347270578177E-2</v>
      </c>
      <c r="F21" s="16">
        <f>LN(Sheet8!F22/Sheet8!F21)</f>
        <v>6.4440214953050093E-2</v>
      </c>
      <c r="G21" s="16">
        <f>LN(Sheet8!G22/Sheet8!G21)</f>
        <v>3.1827443639117298E-2</v>
      </c>
      <c r="H21" s="16">
        <f>LN(Sheet8!H22/Sheet8!H21)</f>
        <v>-6.96296075525014E-3</v>
      </c>
      <c r="I21" s="16">
        <f>LN(Sheet8!I22/Sheet8!I21)</f>
        <v>-5.478109908471638E-2</v>
      </c>
      <c r="J21" s="16">
        <f>LN(Sheet8!J22/Sheet8!J21)</f>
        <v>4.0181174248405727E-2</v>
      </c>
      <c r="K21" s="16">
        <f>LN(Sheet8!K22/Sheet8!K21)</f>
        <v>-1.3595268867386474E-4</v>
      </c>
    </row>
    <row r="22" spans="1:11" x14ac:dyDescent="0.4">
      <c r="A22" s="14">
        <v>39693</v>
      </c>
      <c r="B22" s="16">
        <f>LN(Sheet8!B23/Sheet8!B22)</f>
        <v>-4.8513256588878497E-3</v>
      </c>
      <c r="C22" s="16">
        <f>LN(Sheet8!C23/Sheet8!C22)</f>
        <v>-0.53916297595323492</v>
      </c>
      <c r="D22" s="16">
        <f>LN(Sheet8!D23/Sheet8!D22)</f>
        <v>-0.4603308826303551</v>
      </c>
      <c r="E22" s="16">
        <f>LN(Sheet8!E23/Sheet8!E22)</f>
        <v>-2.2005288810612915E-2</v>
      </c>
      <c r="F22" s="16">
        <f>LN(Sheet8!F23/Sheet8!F22)</f>
        <v>-0.39981836644088625</v>
      </c>
      <c r="G22" s="16">
        <f>LN(Sheet8!G23/Sheet8!G22)</f>
        <v>3.0056359875695077E-2</v>
      </c>
      <c r="H22" s="16">
        <f>LN(Sheet8!H23/Sheet8!H22)</f>
        <v>-8.354245391165209E-2</v>
      </c>
      <c r="I22" s="16">
        <f>LN(Sheet8!I23/Sheet8!I22)</f>
        <v>0.1364528334050627</v>
      </c>
      <c r="J22" s="16">
        <f>LN(Sheet8!J23/Sheet8!J22)</f>
        <v>-3.5706893853484745E-2</v>
      </c>
      <c r="K22" s="16">
        <f>LN(Sheet8!K23/Sheet8!K22)</f>
        <v>-2.9807643533077282E-2</v>
      </c>
    </row>
    <row r="23" spans="1:11" x14ac:dyDescent="0.4">
      <c r="A23" s="14">
        <v>39722</v>
      </c>
      <c r="B23" s="16">
        <f>LN(Sheet8!B24/Sheet8!B23)</f>
        <v>-6.3002717418534485E-2</v>
      </c>
      <c r="C23" s="16">
        <f>LN(Sheet8!C24/Sheet8!C23)</f>
        <v>-0.74396390400649937</v>
      </c>
      <c r="D23" s="16">
        <f>LN(Sheet8!D24/Sheet8!D23)</f>
        <v>-0.63168257549378537</v>
      </c>
      <c r="E23" s="16">
        <f>LN(Sheet8!E24/Sheet8!E23)</f>
        <v>-0.17844558294926163</v>
      </c>
      <c r="F23" s="16">
        <f>LN(Sheet8!F24/Sheet8!F23)</f>
        <v>-5.4883829263157574E-2</v>
      </c>
      <c r="G23" s="16">
        <f>LN(Sheet8!G24/Sheet8!G23)</f>
        <v>-0.10676519522683837</v>
      </c>
      <c r="H23" s="16">
        <f>LN(Sheet8!H24/Sheet8!H23)</f>
        <v>-0.26792033217018302</v>
      </c>
      <c r="I23" s="16">
        <f>LN(Sheet8!I24/Sheet8!I23)</f>
        <v>-0.36999627386778861</v>
      </c>
      <c r="J23" s="16">
        <f>LN(Sheet8!J24/Sheet8!J23)</f>
        <v>-4.0343792550514269E-2</v>
      </c>
      <c r="K23" s="16">
        <f>LN(Sheet8!K24/Sheet8!K23)</f>
        <v>-4.6593391281548623E-2</v>
      </c>
    </row>
    <row r="24" spans="1:11" x14ac:dyDescent="0.4">
      <c r="A24" s="14">
        <v>39755</v>
      </c>
      <c r="B24" s="16">
        <f>LN(Sheet8!B25/Sheet8!B24)</f>
        <v>2.2758425832496244E-2</v>
      </c>
      <c r="C24" s="16">
        <f>LN(Sheet8!C25/Sheet8!C24)</f>
        <v>-0.18378001893614015</v>
      </c>
      <c r="D24" s="16">
        <f>LN(Sheet8!D25/Sheet8!D24)</f>
        <v>-0.10340329428649007</v>
      </c>
      <c r="E24" s="16">
        <f>LN(Sheet8!E25/Sheet8!E24)</f>
        <v>-9.2654135746208496E-2</v>
      </c>
      <c r="F24" s="16">
        <f>LN(Sheet8!F25/Sheet8!F24)</f>
        <v>-0.1492829110072178</v>
      </c>
      <c r="G24" s="16">
        <f>LN(Sheet8!G25/Sheet8!G24)</f>
        <v>-0.14918462857849057</v>
      </c>
      <c r="H24" s="16">
        <f>LN(Sheet8!H25/Sheet8!H24)</f>
        <v>-0.12754135807519204</v>
      </c>
      <c r="I24" s="16">
        <f>LN(Sheet8!I25/Sheet8!I24)</f>
        <v>-0.39714506011346867</v>
      </c>
      <c r="J24" s="16">
        <f>LN(Sheet8!J25/Sheet8!J24)</f>
        <v>-5.8096280262738199E-2</v>
      </c>
      <c r="K24" s="16">
        <f>LN(Sheet8!K25/Sheet8!K24)</f>
        <v>8.385112006922063E-2</v>
      </c>
    </row>
    <row r="25" spans="1:11" x14ac:dyDescent="0.4">
      <c r="A25" s="14">
        <v>39783</v>
      </c>
      <c r="B25" s="16">
        <f>LN(Sheet8!B26/Sheet8!B25)</f>
        <v>5.7033398212832494E-2</v>
      </c>
      <c r="C25" s="16">
        <f>LN(Sheet8!C26/Sheet8!C25)</f>
        <v>0.20183355745744205</v>
      </c>
      <c r="D25" s="16">
        <f>LN(Sheet8!D26/Sheet8!D25)</f>
        <v>5.7003218681725906E-2</v>
      </c>
      <c r="E25" s="16">
        <f>LN(Sheet8!E26/Sheet8!E25)</f>
        <v>-3.8944889127260227E-2</v>
      </c>
      <c r="F25" s="16">
        <f>LN(Sheet8!F26/Sheet8!F25)</f>
        <v>-8.2284346358150504E-2</v>
      </c>
      <c r="G25" s="16">
        <f>LN(Sheet8!G26/Sheet8!G25)</f>
        <v>1.7440098292442141E-2</v>
      </c>
      <c r="H25" s="16">
        <f>LN(Sheet8!H26/Sheet8!H25)</f>
        <v>-3.9247256305813071E-2</v>
      </c>
      <c r="I25" s="16">
        <f>LN(Sheet8!I26/Sheet8!I25)</f>
        <v>-0.12113472660829513</v>
      </c>
      <c r="J25" s="16">
        <f>LN(Sheet8!J26/Sheet8!J25)</f>
        <v>7.5213222203435834E-2</v>
      </c>
      <c r="K25" s="16">
        <f>LN(Sheet8!K26/Sheet8!K25)</f>
        <v>-3.9213085200801266E-3</v>
      </c>
    </row>
    <row r="26" spans="1:11" x14ac:dyDescent="0.4">
      <c r="A26" s="14">
        <v>39815</v>
      </c>
      <c r="B26" s="16">
        <f>LN(Sheet8!B27/Sheet8!B26)</f>
        <v>-6.9486389330045265E-2</v>
      </c>
      <c r="C26" s="16">
        <f>LN(Sheet8!C27/Sheet8!C26)</f>
        <v>-0.21437396921465976</v>
      </c>
      <c r="D26" s="16">
        <f>LN(Sheet8!D27/Sheet8!D26)</f>
        <v>-8.5812767233280476E-2</v>
      </c>
      <c r="E26" s="16">
        <f>LN(Sheet8!E27/Sheet8!E26)</f>
        <v>-0.12873635140469064</v>
      </c>
      <c r="F26" s="16">
        <f>LN(Sheet8!F27/Sheet8!F26)</f>
        <v>5.4492623327868875E-2</v>
      </c>
      <c r="G26" s="16">
        <f>LN(Sheet8!G27/Sheet8!G26)</f>
        <v>-3.5140598410430593E-3</v>
      </c>
      <c r="H26" s="16">
        <f>LN(Sheet8!H27/Sheet8!H26)</f>
        <v>-0.28929367634612246</v>
      </c>
      <c r="I26" s="16">
        <f>LN(Sheet8!I27/Sheet8!I26)</f>
        <v>-0.76008666323505469</v>
      </c>
      <c r="J26" s="16">
        <f>LN(Sheet8!J27/Sheet8!J26)</f>
        <v>-0.19466901433561715</v>
      </c>
      <c r="K26" s="16">
        <f>LN(Sheet8!K27/Sheet8!K26)</f>
        <v>-4.2907218165811702E-2</v>
      </c>
    </row>
    <row r="27" spans="1:11" x14ac:dyDescent="0.4">
      <c r="A27" s="14">
        <v>39846</v>
      </c>
      <c r="B27" s="16">
        <f>LN(Sheet8!B28/Sheet8!B27)</f>
        <v>-9.555703009088036E-2</v>
      </c>
      <c r="C27" s="16">
        <f>LN(Sheet8!C28/Sheet8!C27)</f>
        <v>-0.41402827055583058</v>
      </c>
      <c r="D27" s="16">
        <f>LN(Sheet8!D28/Sheet8!D27)</f>
        <v>-0.14683046890891754</v>
      </c>
      <c r="E27" s="16">
        <f>LN(Sheet8!E28/Sheet8!E27)</f>
        <v>-5.0171293147843389E-2</v>
      </c>
      <c r="F27" s="16">
        <f>LN(Sheet8!F28/Sheet8!F27)</f>
        <v>-9.1396088725236701E-3</v>
      </c>
      <c r="G27" s="16">
        <f>LN(Sheet8!G28/Sheet8!G27)</f>
        <v>-0.10684234948831735</v>
      </c>
      <c r="H27" s="16">
        <f>LN(Sheet8!H28/Sheet8!H27)</f>
        <v>-0.32492624562415212</v>
      </c>
      <c r="I27" s="16">
        <f>LN(Sheet8!I28/Sheet8!I27)</f>
        <v>-0.51082562376599072</v>
      </c>
      <c r="J27" s="16">
        <f>LN(Sheet8!J28/Sheet8!J27)</f>
        <v>-0.14756390854903145</v>
      </c>
      <c r="K27" s="16">
        <f>LN(Sheet8!K28/Sheet8!K27)</f>
        <v>-0.11402472723343116</v>
      </c>
    </row>
    <row r="28" spans="1:11" x14ac:dyDescent="0.4">
      <c r="A28" s="14">
        <v>39874</v>
      </c>
      <c r="B28" s="16">
        <f>LN(Sheet8!B29/Sheet8!B28)</f>
        <v>4.3534002023728514E-2</v>
      </c>
      <c r="C28" s="16">
        <f>LN(Sheet8!C29/Sheet8!C28)</f>
        <v>7.1192033942922783E-2</v>
      </c>
      <c r="D28" s="16">
        <f>LN(Sheet8!D29/Sheet8!D28)</f>
        <v>3.65063692872796E-2</v>
      </c>
      <c r="E28" s="16">
        <f>LN(Sheet8!E29/Sheet8!E28)</f>
        <v>0.12915176326314318</v>
      </c>
      <c r="F28" s="16">
        <f>LN(Sheet8!F29/Sheet8!F28)</f>
        <v>0.16298909104050577</v>
      </c>
      <c r="G28" s="16">
        <f>LN(Sheet8!G29/Sheet8!G28)</f>
        <v>-6.0554674626534667E-2</v>
      </c>
      <c r="H28" s="16">
        <f>LN(Sheet8!H29/Sheet8!H28)</f>
        <v>0.17185025692665923</v>
      </c>
      <c r="I28" s="16">
        <f>LN(Sheet8!I29/Sheet8!I28)</f>
        <v>0.54856595174883771</v>
      </c>
      <c r="J28" s="16">
        <f>LN(Sheet8!J29/Sheet8!J28)</f>
        <v>0.10130819845287826</v>
      </c>
      <c r="K28" s="16">
        <f>LN(Sheet8!K29/Sheet8!K28)</f>
        <v>3.007045076680352E-3</v>
      </c>
    </row>
    <row r="29" spans="1:11" x14ac:dyDescent="0.4">
      <c r="A29" s="14">
        <v>39904</v>
      </c>
      <c r="B29" s="16">
        <f>LN(Sheet8!B30/Sheet8!B29)</f>
        <v>-2.3678127354577257E-2</v>
      </c>
      <c r="C29" s="16">
        <f>LN(Sheet8!C30/Sheet8!C29)</f>
        <v>0.22841555010538889</v>
      </c>
      <c r="D29" s="16">
        <f>LN(Sheet8!D30/Sheet8!D29)</f>
        <v>0.16259918309919819</v>
      </c>
      <c r="E29" s="16">
        <f>LN(Sheet8!E30/Sheet8!E29)</f>
        <v>9.7678913639875464E-2</v>
      </c>
      <c r="F29" s="16">
        <f>LN(Sheet8!F30/Sheet8!F29)</f>
        <v>0.17982923486757607</v>
      </c>
      <c r="G29" s="16">
        <f>LN(Sheet8!G30/Sheet8!G29)</f>
        <v>0.1393482705144585</v>
      </c>
      <c r="H29" s="16">
        <f>LN(Sheet8!H30/Sheet8!H29)</f>
        <v>0.22421708872273391</v>
      </c>
      <c r="I29" s="16">
        <f>LN(Sheet8!I30/Sheet8!I29)</f>
        <v>0.26974437176511368</v>
      </c>
      <c r="J29" s="16">
        <f>LN(Sheet8!J30/Sheet8!J29)</f>
        <v>-1.9287809671403915E-2</v>
      </c>
      <c r="K29" s="16">
        <f>LN(Sheet8!K30/Sheet8!K29)</f>
        <v>-2.1241715384246986E-2</v>
      </c>
    </row>
    <row r="30" spans="1:11" x14ac:dyDescent="0.4">
      <c r="A30" s="14">
        <v>39934</v>
      </c>
      <c r="B30" s="16">
        <f>LN(Sheet8!B31/Sheet8!B30)</f>
        <v>0.10156466601164833</v>
      </c>
      <c r="C30" s="16">
        <f>LN(Sheet8!C31/Sheet8!C30)</f>
        <v>0.25156933524124636</v>
      </c>
      <c r="D30" s="16">
        <f>LN(Sheet8!D31/Sheet8!D30)</f>
        <v>0.34758417988684698</v>
      </c>
      <c r="E30" s="16">
        <f>LN(Sheet8!E31/Sheet8!E30)</f>
        <v>3.7155976888091267E-2</v>
      </c>
      <c r="F30" s="16">
        <f>LN(Sheet8!F31/Sheet8!F30)</f>
        <v>7.6325060512100487E-2</v>
      </c>
      <c r="G30" s="16">
        <f>LN(Sheet8!G31/Sheet8!G30)</f>
        <v>3.4565067385276614E-2</v>
      </c>
      <c r="H30" s="16">
        <f>LN(Sheet8!H31/Sheet8!H30)</f>
        <v>6.3196419204806301E-2</v>
      </c>
      <c r="I30" s="16">
        <f>LN(Sheet8!I31/Sheet8!I30)</f>
        <v>0.23304908030361277</v>
      </c>
      <c r="J30" s="16">
        <f>LN(Sheet8!J31/Sheet8!J30)</f>
        <v>0.13965149192127913</v>
      </c>
      <c r="K30" s="16">
        <f>LN(Sheet8!K31/Sheet8!K30)</f>
        <v>4.544085111175284E-2</v>
      </c>
    </row>
    <row r="31" spans="1:11" x14ac:dyDescent="0.4">
      <c r="A31" s="14">
        <v>39965</v>
      </c>
      <c r="B31" s="16">
        <f>LN(Sheet8!B32/Sheet8!B31)</f>
        <v>-1.7544309650909508E-2</v>
      </c>
      <c r="C31" s="16">
        <f>LN(Sheet8!C32/Sheet8!C31)</f>
        <v>4.7330651217545851E-2</v>
      </c>
      <c r="D31" s="16">
        <f>LN(Sheet8!D32/Sheet8!D31)</f>
        <v>-2.8952891384987798E-3</v>
      </c>
      <c r="E31" s="16">
        <f>LN(Sheet8!E32/Sheet8!E31)</f>
        <v>0.12908891530496175</v>
      </c>
      <c r="F31" s="16">
        <f>LN(Sheet8!F32/Sheet8!F31)</f>
        <v>4.7593800830517959E-2</v>
      </c>
      <c r="G31" s="16">
        <f>LN(Sheet8!G32/Sheet8!G31)</f>
        <v>7.3893824105219885E-2</v>
      </c>
      <c r="H31" s="16">
        <f>LN(Sheet8!H32/Sheet8!H31)</f>
        <v>-0.13157635778871921</v>
      </c>
      <c r="I31" s="16">
        <f>LN(Sheet8!I32/Sheet8!I31)</f>
        <v>0.15874838907588781</v>
      </c>
      <c r="J31" s="16">
        <f>LN(Sheet8!J32/Sheet8!J31)</f>
        <v>-1.2597424836962868E-2</v>
      </c>
      <c r="K31" s="16">
        <f>LN(Sheet8!K32/Sheet8!K31)</f>
        <v>7.9889808833266008E-3</v>
      </c>
    </row>
    <row r="32" spans="1:11" x14ac:dyDescent="0.4">
      <c r="A32" s="14">
        <v>39995</v>
      </c>
      <c r="B32" s="16">
        <f>LN(Sheet8!B33/Sheet8!B32)</f>
        <v>-4.3288474440334172E-2</v>
      </c>
      <c r="C32" s="16">
        <f>LN(Sheet8!C33/Sheet8!C32)</f>
        <v>0.1064376437984761</v>
      </c>
      <c r="D32" s="16">
        <f>LN(Sheet8!D33/Sheet8!D32)</f>
        <v>8.5775648155416356E-2</v>
      </c>
      <c r="E32" s="16">
        <f>LN(Sheet8!E33/Sheet8!E32)</f>
        <v>-1.0743165098813267E-2</v>
      </c>
      <c r="F32" s="16">
        <f>LN(Sheet8!F33/Sheet8!F32)</f>
        <v>0.1372893300962372</v>
      </c>
      <c r="G32" s="16">
        <f>LN(Sheet8!G33/Sheet8!G32)</f>
        <v>1.9757132425718592E-2</v>
      </c>
      <c r="H32" s="16">
        <f>LN(Sheet8!H33/Sheet8!H32)</f>
        <v>0.13399084588323676</v>
      </c>
      <c r="I32" s="16">
        <f>LN(Sheet8!I33/Sheet8!I32)</f>
        <v>0.11403835042945271</v>
      </c>
      <c r="J32" s="16">
        <f>LN(Sheet8!J33/Sheet8!J32)</f>
        <v>6.0054208690242528E-2</v>
      </c>
      <c r="K32" s="16">
        <f>LN(Sheet8!K33/Sheet8!K32)</f>
        <v>6.8623982610406652E-3</v>
      </c>
    </row>
    <row r="33" spans="1:11" x14ac:dyDescent="0.4">
      <c r="A33" s="14">
        <v>40028</v>
      </c>
      <c r="B33" s="16">
        <f>LN(Sheet8!B34/Sheet8!B33)</f>
        <v>3.0020652820101173E-2</v>
      </c>
      <c r="C33" s="16">
        <f>LN(Sheet8!C34/Sheet8!C33)</f>
        <v>9.7579172002807441E-2</v>
      </c>
      <c r="D33" s="16">
        <f>LN(Sheet8!D34/Sheet8!D33)</f>
        <v>-6.2287017334199547E-3</v>
      </c>
      <c r="E33" s="16">
        <f>LN(Sheet8!E34/Sheet8!E33)</f>
        <v>5.259757395808743E-2</v>
      </c>
      <c r="F33" s="16">
        <f>LN(Sheet8!F34/Sheet8!F33)</f>
        <v>2.9073217760958888E-2</v>
      </c>
      <c r="G33" s="16">
        <f>LN(Sheet8!G34/Sheet8!G33)</f>
        <v>-6.826715477324096E-4</v>
      </c>
      <c r="H33" s="16">
        <f>LN(Sheet8!H34/Sheet8!H33)</f>
        <v>3.631022405659301E-2</v>
      </c>
      <c r="I33" s="16">
        <f>LN(Sheet8!I34/Sheet8!I33)</f>
        <v>0.17307016307342399</v>
      </c>
      <c r="J33" s="16">
        <f>LN(Sheet8!J34/Sheet8!J33)</f>
        <v>5.7314456595980286E-2</v>
      </c>
      <c r="K33" s="16">
        <f>LN(Sheet8!K34/Sheet8!K33)</f>
        <v>-1.1771136450211052E-2</v>
      </c>
    </row>
    <row r="34" spans="1:11" x14ac:dyDescent="0.4">
      <c r="A34" s="14">
        <v>40057</v>
      </c>
      <c r="B34" s="16">
        <f>LN(Sheet8!B35/Sheet8!B34)</f>
        <v>1.4772995940151254E-2</v>
      </c>
      <c r="C34" s="16">
        <f>LN(Sheet8!C35/Sheet8!C34)</f>
        <v>1.3552521659710276E-2</v>
      </c>
      <c r="D34" s="16">
        <f>LN(Sheet8!D35/Sheet8!D34)</f>
        <v>4.1381195472381151E-2</v>
      </c>
      <c r="E34" s="16">
        <f>LN(Sheet8!E35/Sheet8!E34)</f>
        <v>4.2630776133823246E-2</v>
      </c>
      <c r="F34" s="16">
        <f>LN(Sheet8!F35/Sheet8!F34)</f>
        <v>9.7032730793050262E-2</v>
      </c>
      <c r="G34" s="16">
        <f>LN(Sheet8!G35/Sheet8!G34)</f>
        <v>4.4521040350013946E-2</v>
      </c>
      <c r="H34" s="16">
        <f>LN(Sheet8!H35/Sheet8!H34)</f>
        <v>0.17258438151609629</v>
      </c>
      <c r="I34" s="16">
        <f>LN(Sheet8!I35/Sheet8!I34)</f>
        <v>-3.8005158492869305E-2</v>
      </c>
      <c r="J34" s="16">
        <f>LN(Sheet8!J35/Sheet8!J34)</f>
        <v>-9.3271828751387686E-3</v>
      </c>
      <c r="K34" s="16">
        <f>LN(Sheet8!K35/Sheet8!K34)</f>
        <v>-7.7184699333121085E-3</v>
      </c>
    </row>
    <row r="35" spans="1:11" x14ac:dyDescent="0.4">
      <c r="A35" s="14">
        <v>40087</v>
      </c>
      <c r="B35" s="16">
        <f>LN(Sheet8!B36/Sheet8!B35)</f>
        <v>2.6529707291332652E-2</v>
      </c>
      <c r="C35" s="16">
        <f>LN(Sheet8!C36/Sheet8!C35)</f>
        <v>-0.25190128275784252</v>
      </c>
      <c r="D35" s="16">
        <f>LN(Sheet8!D36/Sheet8!D35)</f>
        <v>-8.7660382087629843E-2</v>
      </c>
      <c r="E35" s="16">
        <f>LN(Sheet8!E36/Sheet8!E35)</f>
        <v>7.4867562011740399E-2</v>
      </c>
      <c r="F35" s="16">
        <f>LN(Sheet8!F36/Sheet8!F35)</f>
        <v>1.6852077291324211E-2</v>
      </c>
      <c r="G35" s="16">
        <f>LN(Sheet8!G36/Sheet8!G35)</f>
        <v>4.5955756951869361E-2</v>
      </c>
      <c r="H35" s="16">
        <f>LN(Sheet8!H36/Sheet8!H35)</f>
        <v>-0.14054502777147962</v>
      </c>
      <c r="I35" s="16">
        <f>LN(Sheet8!I36/Sheet8!I35)</f>
        <v>-0.14880148430844151</v>
      </c>
      <c r="J35" s="16">
        <f>LN(Sheet8!J36/Sheet8!J35)</f>
        <v>2.8375377845833161E-2</v>
      </c>
      <c r="K35" s="16">
        <f>LN(Sheet8!K36/Sheet8!K35)</f>
        <v>4.3514785970513011E-2</v>
      </c>
    </row>
    <row r="36" spans="1:11" x14ac:dyDescent="0.4">
      <c r="A36" s="14">
        <v>40119</v>
      </c>
      <c r="B36" s="16">
        <f>LN(Sheet8!B37/Sheet8!B36)</f>
        <v>8.4735507091231968E-2</v>
      </c>
      <c r="C36" s="16">
        <f>LN(Sheet8!C37/Sheet8!C36)</f>
        <v>0.25962859393555998</v>
      </c>
      <c r="D36" s="16">
        <f>LN(Sheet8!D37/Sheet8!D36)</f>
        <v>0.14857043276285986</v>
      </c>
      <c r="E36" s="16">
        <f>LN(Sheet8!E37/Sheet8!E36)</f>
        <v>6.325637835917991E-2</v>
      </c>
      <c r="F36" s="16">
        <f>LN(Sheet8!F37/Sheet8!F36)</f>
        <v>5.8769258379585923E-2</v>
      </c>
      <c r="G36" s="16">
        <f>LN(Sheet8!G37/Sheet8!G36)</f>
        <v>2.7078577568087278E-2</v>
      </c>
      <c r="H36" s="16">
        <f>LN(Sheet8!H37/Sheet8!H36)</f>
        <v>0.11611330743408811</v>
      </c>
      <c r="I36" s="16">
        <f>LN(Sheet8!I37/Sheet8!I36)</f>
        <v>8.3547570270441782E-2</v>
      </c>
      <c r="J36" s="16">
        <f>LN(Sheet8!J37/Sheet8!J36)</f>
        <v>7.4572591406609087E-2</v>
      </c>
      <c r="K36" s="16">
        <f>LN(Sheet8!K37/Sheet8!K36)</f>
        <v>5.217569427574098E-2</v>
      </c>
    </row>
    <row r="37" spans="1:11" x14ac:dyDescent="0.4">
      <c r="A37" s="14">
        <v>40148</v>
      </c>
      <c r="B37" s="16">
        <f>LN(Sheet8!B38/Sheet8!B37)</f>
        <v>-1.286626856654784E-2</v>
      </c>
      <c r="C37" s="16">
        <f>LN(Sheet8!C38/Sheet8!C37)</f>
        <v>0.21052178121989676</v>
      </c>
      <c r="D37" s="16">
        <f>LN(Sheet8!D38/Sheet8!D37)</f>
        <v>0.15265306996264927</v>
      </c>
      <c r="E37" s="16">
        <f>LN(Sheet8!E38/Sheet8!E37)</f>
        <v>3.6049397832795475E-2</v>
      </c>
      <c r="F37" s="16">
        <f>LN(Sheet8!F38/Sheet8!F37)</f>
        <v>5.2710427941470024E-2</v>
      </c>
      <c r="G37" s="16">
        <f>LN(Sheet8!G38/Sheet8!G37)</f>
        <v>1.1670152567820351E-2</v>
      </c>
      <c r="H37" s="16">
        <f>LN(Sheet8!H38/Sheet8!H37)</f>
        <v>-5.0730548171236338E-2</v>
      </c>
      <c r="I37" s="16">
        <f>LN(Sheet8!I38/Sheet8!I37)</f>
        <v>-5.0891607296389266E-2</v>
      </c>
      <c r="J37" s="16">
        <f>LN(Sheet8!J38/Sheet8!J37)</f>
        <v>1.2070007500352875E-3</v>
      </c>
      <c r="K37" s="16">
        <f>LN(Sheet8!K38/Sheet8!K37)</f>
        <v>-9.6155488392275515E-2</v>
      </c>
    </row>
    <row r="38" spans="1:11" x14ac:dyDescent="0.4">
      <c r="A38" s="14">
        <v>40182</v>
      </c>
      <c r="B38" s="16">
        <f>LN(Sheet8!B39/Sheet8!B38)</f>
        <v>-1.7040129546211274E-4</v>
      </c>
      <c r="C38" s="16">
        <f>LN(Sheet8!C39/Sheet8!C38)</f>
        <v>-0.21551498269714589</v>
      </c>
      <c r="D38" s="16">
        <f>LN(Sheet8!D39/Sheet8!D38)</f>
        <v>-0.16780897576404011</v>
      </c>
      <c r="E38" s="16">
        <f>LN(Sheet8!E39/Sheet8!E38)</f>
        <v>-7.8640002226336894E-2</v>
      </c>
      <c r="F38" s="16">
        <f>LN(Sheet8!F39/Sheet8!F38)</f>
        <v>-9.276986999929468E-2</v>
      </c>
      <c r="G38" s="16">
        <f>LN(Sheet8!G39/Sheet8!G38)</f>
        <v>2.2743984437561614E-2</v>
      </c>
      <c r="H38" s="16">
        <f>LN(Sheet8!H39/Sheet8!H38)</f>
        <v>6.0707351909553259E-2</v>
      </c>
      <c r="I38" s="16">
        <f>LN(Sheet8!I39/Sheet8!I38)</f>
        <v>8.0000426670763704E-3</v>
      </c>
      <c r="J38" s="16">
        <f>LN(Sheet8!J39/Sheet8!J38)</f>
        <v>2.5604256700621688E-2</v>
      </c>
      <c r="K38" s="16">
        <f>LN(Sheet8!K39/Sheet8!K38)</f>
        <v>-5.6611367874446233E-2</v>
      </c>
    </row>
    <row r="39" spans="1:11" x14ac:dyDescent="0.4">
      <c r="A39" s="14">
        <v>40210</v>
      </c>
      <c r="B39" s="16">
        <f>LN(Sheet8!B40/Sheet8!B39)</f>
        <v>3.1040156628815024E-2</v>
      </c>
      <c r="C39" s="16">
        <f>LN(Sheet8!C40/Sheet8!C39)</f>
        <v>0.17623557376407417</v>
      </c>
      <c r="D39" s="16">
        <f>LN(Sheet8!D40/Sheet8!D39)</f>
        <v>-7.3902074405397056E-3</v>
      </c>
      <c r="E39" s="16">
        <f>LN(Sheet8!E40/Sheet8!E39)</f>
        <v>2.2067831896381063E-2</v>
      </c>
      <c r="F39" s="16">
        <f>LN(Sheet8!F40/Sheet8!F39)</f>
        <v>6.3346777240967267E-2</v>
      </c>
      <c r="G39" s="16">
        <f>LN(Sheet8!G40/Sheet8!G39)</f>
        <v>-3.5426590265908255E-2</v>
      </c>
      <c r="H39" s="16">
        <f>LN(Sheet8!H40/Sheet8!H39)</f>
        <v>5.2805403230333503E-3</v>
      </c>
      <c r="I39" s="16">
        <f>LN(Sheet8!I40/Sheet8!I39)</f>
        <v>9.3134689461185416E-2</v>
      </c>
      <c r="J39" s="16">
        <f>LN(Sheet8!J40/Sheet8!J39)</f>
        <v>-5.1881356739105038E-2</v>
      </c>
      <c r="K39" s="16">
        <f>LN(Sheet8!K40/Sheet8!K39)</f>
        <v>1.5304759823989536E-2</v>
      </c>
    </row>
    <row r="40" spans="1:11" x14ac:dyDescent="0.4">
      <c r="A40" s="14">
        <v>40238</v>
      </c>
      <c r="B40" s="16">
        <f>LN(Sheet8!B41/Sheet8!B40)</f>
        <v>4.3956017704033769E-2</v>
      </c>
      <c r="C40" s="16">
        <f>LN(Sheet8!C41/Sheet8!C40)</f>
        <v>0.18225796581113446</v>
      </c>
      <c r="D40" s="16">
        <f>LN(Sheet8!D41/Sheet8!D40)</f>
        <v>0.13880591935779266</v>
      </c>
      <c r="E40" s="16">
        <f>LN(Sheet8!E41/Sheet8!E40)</f>
        <v>2.1235276980456044E-2</v>
      </c>
      <c r="F40" s="16">
        <f>LN(Sheet8!F41/Sheet8!F40)</f>
        <v>0.13843091369336494</v>
      </c>
      <c r="G40" s="16">
        <f>LN(Sheet8!G41/Sheet8!G40)</f>
        <v>2.421813549475926E-2</v>
      </c>
      <c r="H40" s="16">
        <f>LN(Sheet8!H41/Sheet8!H40)</f>
        <v>0.12485329361576664</v>
      </c>
      <c r="I40" s="16">
        <f>LN(Sheet8!I41/Sheet8!I40)</f>
        <v>6.9517033344001986E-2</v>
      </c>
      <c r="J40" s="16">
        <f>LN(Sheet8!J41/Sheet8!J40)</f>
        <v>-2.3176734250937317E-2</v>
      </c>
      <c r="K40" s="16">
        <f>LN(Sheet8!K41/Sheet8!K40)</f>
        <v>2.9924244575910232E-2</v>
      </c>
    </row>
    <row r="41" spans="1:11" x14ac:dyDescent="0.4">
      <c r="A41" s="14">
        <v>40269</v>
      </c>
      <c r="B41" s="16">
        <f>LN(Sheet8!B42/Sheet8!B41)</f>
        <v>5.6402748510993667E-2</v>
      </c>
      <c r="C41" s="16">
        <f>LN(Sheet8!C42/Sheet8!C41)</f>
        <v>-0.15034236040380761</v>
      </c>
      <c r="D41" s="16">
        <f>LN(Sheet8!D42/Sheet8!D41)</f>
        <v>-0.12272708815612487</v>
      </c>
      <c r="E41" s="16">
        <f>LN(Sheet8!E42/Sheet8!E41)</f>
        <v>4.1847109935500504E-2</v>
      </c>
      <c r="F41" s="16">
        <f>LN(Sheet8!F42/Sheet8!F41)</f>
        <v>0.10527966132537296</v>
      </c>
      <c r="G41" s="16">
        <f>LN(Sheet8!G42/Sheet8!G41)</f>
        <v>2.7885203489535642E-2</v>
      </c>
      <c r="H41" s="16">
        <f>LN(Sheet8!H42/Sheet8!H41)</f>
        <v>3.5952516928415161E-2</v>
      </c>
      <c r="I41" s="16">
        <f>LN(Sheet8!I42/Sheet8!I41)</f>
        <v>-1.129305597151414E-3</v>
      </c>
      <c r="J41" s="16">
        <f>LN(Sheet8!J42/Sheet8!J41)</f>
        <v>-2.5675351340230225E-2</v>
      </c>
      <c r="K41" s="16">
        <f>LN(Sheet8!K42/Sheet8!K41)</f>
        <v>1.1692392929827707E-2</v>
      </c>
    </row>
    <row r="42" spans="1:11" x14ac:dyDescent="0.4">
      <c r="A42" s="14">
        <v>40301</v>
      </c>
      <c r="B42" s="16">
        <f>LN(Sheet8!B43/Sheet8!B42)</f>
        <v>-4.5865574660604043E-2</v>
      </c>
      <c r="C42" s="16">
        <f>LN(Sheet8!C43/Sheet8!C42)</f>
        <v>-0.14553429842446231</v>
      </c>
      <c r="D42" s="16">
        <f>LN(Sheet8!D43/Sheet8!D42)</f>
        <v>-0.24094089127357815</v>
      </c>
      <c r="E42" s="16">
        <f>LN(Sheet8!E43/Sheet8!E42)</f>
        <v>-0.164046936550473</v>
      </c>
      <c r="F42" s="16">
        <f>LN(Sheet8!F43/Sheet8!F42)</f>
        <v>-1.6256125688273504E-2</v>
      </c>
      <c r="G42" s="16">
        <f>LN(Sheet8!G43/Sheet8!G42)</f>
        <v>-2.0791577684914075E-2</v>
      </c>
      <c r="H42" s="16">
        <f>LN(Sheet8!H43/Sheet8!H42)</f>
        <v>-0.14318708399258742</v>
      </c>
      <c r="I42" s="16">
        <f>LN(Sheet8!I43/Sheet8!I42)</f>
        <v>-0.12437249514639814</v>
      </c>
      <c r="J42" s="16">
        <f>LN(Sheet8!J43/Sheet8!J42)</f>
        <v>-8.2646875811924203E-2</v>
      </c>
      <c r="K42" s="16">
        <f>LN(Sheet8!K43/Sheet8!K42)</f>
        <v>-0.10722213580452646</v>
      </c>
    </row>
    <row r="43" spans="1:11" x14ac:dyDescent="0.4">
      <c r="A43" s="14">
        <v>40330</v>
      </c>
      <c r="B43" s="16">
        <f>LN(Sheet8!B44/Sheet8!B43)</f>
        <v>-1.4973878957367954E-2</v>
      </c>
      <c r="C43" s="16">
        <f>LN(Sheet8!C44/Sheet8!C43)</f>
        <v>-0.20257224341931634</v>
      </c>
      <c r="D43" s="16">
        <f>LN(Sheet8!D44/Sheet8!D43)</f>
        <v>-0.12516314295400605</v>
      </c>
      <c r="E43" s="16">
        <f>LN(Sheet8!E44/Sheet8!E43)</f>
        <v>-0.11456889066355468</v>
      </c>
      <c r="F43" s="16">
        <f>LN(Sheet8!F44/Sheet8!F43)</f>
        <v>-2.1046783061035752E-2</v>
      </c>
      <c r="G43" s="16">
        <f>LN(Sheet8!G44/Sheet8!G43)</f>
        <v>-6.0293339567065972E-2</v>
      </c>
      <c r="H43" s="16">
        <f>LN(Sheet8!H44/Sheet8!H43)</f>
        <v>-0.11940142086153679</v>
      </c>
      <c r="I43" s="16">
        <f>LN(Sheet8!I44/Sheet8!I43)</f>
        <v>-9.033218752194698E-2</v>
      </c>
      <c r="J43" s="16">
        <f>LN(Sheet8!J44/Sheet8!J43)</f>
        <v>-6.5669103507857304E-2</v>
      </c>
      <c r="K43" s="16">
        <f>LN(Sheet8!K44/Sheet8!K43)</f>
        <v>-5.7706609376747049E-2</v>
      </c>
    </row>
    <row r="44" spans="1:11" x14ac:dyDescent="0.4">
      <c r="A44" s="14">
        <v>40360</v>
      </c>
      <c r="B44" s="16">
        <f>LN(Sheet8!B45/Sheet8!B44)</f>
        <v>5.6946650378942282E-2</v>
      </c>
      <c r="C44" s="16">
        <f>LN(Sheet8!C45/Sheet8!C44)</f>
        <v>0.13972780549765557</v>
      </c>
      <c r="D44" s="16">
        <f>LN(Sheet8!D45/Sheet8!D44)</f>
        <v>0.13747099062860288</v>
      </c>
      <c r="E44" s="16">
        <f>LN(Sheet8!E45/Sheet8!E44)</f>
        <v>0.11497122420348195</v>
      </c>
      <c r="F44" s="16">
        <f>LN(Sheet8!F45/Sheet8!F44)</f>
        <v>2.2486107993936241E-2</v>
      </c>
      <c r="G44" s="16">
        <f>LN(Sheet8!G45/Sheet8!G44)</f>
        <v>-5.0177818014316708E-3</v>
      </c>
      <c r="H44" s="16">
        <f>LN(Sheet8!H45/Sheet8!H44)</f>
        <v>0.11160917364137095</v>
      </c>
      <c r="I44" s="16">
        <f>LN(Sheet8!I45/Sheet8!I44)</f>
        <v>-2.3380448644063721E-2</v>
      </c>
      <c r="J44" s="16">
        <f>LN(Sheet8!J45/Sheet8!J44)</f>
        <v>5.0727523509658222E-2</v>
      </c>
      <c r="K44" s="16">
        <f>LN(Sheet8!K45/Sheet8!K44)</f>
        <v>4.468220020470292E-2</v>
      </c>
    </row>
    <row r="45" spans="1:11" x14ac:dyDescent="0.4">
      <c r="A45" s="14">
        <v>40392</v>
      </c>
      <c r="B45" s="16">
        <f>LN(Sheet8!B46/Sheet8!B45)</f>
        <v>5.4019846989763753E-2</v>
      </c>
      <c r="C45" s="16">
        <f>LN(Sheet8!C46/Sheet8!C45)</f>
        <v>-4.1353162723357255E-2</v>
      </c>
      <c r="D45" s="16">
        <f>LN(Sheet8!D46/Sheet8!D45)</f>
        <v>-5.1239644879771909E-2</v>
      </c>
      <c r="E45" s="16">
        <f>LN(Sheet8!E46/Sheet8!E45)</f>
        <v>-9.0014492229614482E-2</v>
      </c>
      <c r="F45" s="16">
        <f>LN(Sheet8!F46/Sheet8!F45)</f>
        <v>-5.6575493392081351E-2</v>
      </c>
      <c r="G45" s="16">
        <f>LN(Sheet8!G46/Sheet8!G45)</f>
        <v>6.2860138266832932E-4</v>
      </c>
      <c r="H45" s="16">
        <f>LN(Sheet8!H46/Sheet8!H45)</f>
        <v>-0.10724553035359768</v>
      </c>
      <c r="I45" s="16">
        <f>LN(Sheet8!I46/Sheet8!I45)</f>
        <v>-0.11939724101092451</v>
      </c>
      <c r="J45" s="16">
        <f>LN(Sheet8!J46/Sheet8!J45)</f>
        <v>6.9900464278956714E-2</v>
      </c>
      <c r="K45" s="16">
        <f>LN(Sheet8!K46/Sheet8!K45)</f>
        <v>-2.4501237318206789E-3</v>
      </c>
    </row>
    <row r="46" spans="1:11" x14ac:dyDescent="0.4">
      <c r="A46" s="14">
        <v>40422</v>
      </c>
      <c r="B46" s="16">
        <f>LN(Sheet8!B47/Sheet8!B46)</f>
        <v>1.9702297881183405E-2</v>
      </c>
      <c r="C46" s="16">
        <f>LN(Sheet8!C47/Sheet8!C46)</f>
        <v>3.1289033861531701E-2</v>
      </c>
      <c r="D46" s="16">
        <f>LN(Sheet8!D47/Sheet8!D46)</f>
        <v>0.12900578839544322</v>
      </c>
      <c r="E46" s="16">
        <f>LN(Sheet8!E47/Sheet8!E46)</f>
        <v>4.2651306224363653E-2</v>
      </c>
      <c r="F46" s="16">
        <f>LN(Sheet8!F47/Sheet8!F46)</f>
        <v>0.15462068747353472</v>
      </c>
      <c r="G46" s="16">
        <f>LN(Sheet8!G47/Sheet8!G46)</f>
        <v>1.6412542506440735E-2</v>
      </c>
      <c r="H46" s="16">
        <f>LN(Sheet8!H47/Sheet8!H46)</f>
        <v>0.1227697748570897</v>
      </c>
      <c r="I46" s="16">
        <f>LN(Sheet8!I47/Sheet8!I46)</f>
        <v>5.1172123880303566E-2</v>
      </c>
      <c r="J46" s="16">
        <f>LN(Sheet8!J47/Sheet8!J46)</f>
        <v>7.5920690295471535E-2</v>
      </c>
      <c r="K46" s="16">
        <f>LN(Sheet8!K47/Sheet8!K46)</f>
        <v>4.4215563995308377E-2</v>
      </c>
    </row>
    <row r="47" spans="1:11" x14ac:dyDescent="0.4">
      <c r="A47" s="14">
        <v>40452</v>
      </c>
      <c r="B47" s="16">
        <f>LN(Sheet8!B48/Sheet8!B47)</f>
        <v>4.2826672772633106E-2</v>
      </c>
      <c r="C47" s="16">
        <f>LN(Sheet8!C48/Sheet8!C47)</f>
        <v>-2.584845273009263E-2</v>
      </c>
      <c r="D47" s="16">
        <f>LN(Sheet8!D48/Sheet8!D47)</f>
        <v>-1.8081380789567517E-2</v>
      </c>
      <c r="E47" s="16">
        <f>LN(Sheet8!E48/Sheet8!E47)</f>
        <v>8.525248534118221E-2</v>
      </c>
      <c r="F47" s="16">
        <f>LN(Sheet8!F48/Sheet8!F47)</f>
        <v>5.8950248562960224E-2</v>
      </c>
      <c r="G47" s="16">
        <f>LN(Sheet8!G48/Sheet8!G47)</f>
        <v>-4.9576635316743636E-3</v>
      </c>
      <c r="H47" s="16">
        <f>LN(Sheet8!H48/Sheet8!H47)</f>
        <v>-1.422131272307617E-2</v>
      </c>
      <c r="I47" s="16">
        <f>LN(Sheet8!I48/Sheet8!I47)</f>
        <v>-0.13451861367766288</v>
      </c>
      <c r="J47" s="16">
        <f>LN(Sheet8!J48/Sheet8!J47)</f>
        <v>1.4760415583120455E-2</v>
      </c>
      <c r="K47" s="16">
        <f>LN(Sheet8!K48/Sheet8!K47)</f>
        <v>7.3353286779761717E-2</v>
      </c>
    </row>
    <row r="48" spans="1:11" x14ac:dyDescent="0.4">
      <c r="A48" s="14">
        <v>40483</v>
      </c>
      <c r="B48" s="16">
        <f>LN(Sheet8!B49/Sheet8!B48)</f>
        <v>1.4579449763157238E-2</v>
      </c>
      <c r="C48" s="16">
        <f>LN(Sheet8!C49/Sheet8!C48)</f>
        <v>0.13010491086478493</v>
      </c>
      <c r="D48" s="16">
        <f>LN(Sheet8!D49/Sheet8!D48)</f>
        <v>-1.6459948829091877E-2</v>
      </c>
      <c r="E48" s="16">
        <f>LN(Sheet8!E49/Sheet8!E48)</f>
        <v>-4.799652101553193E-2</v>
      </c>
      <c r="F48" s="16">
        <f>LN(Sheet8!F49/Sheet8!F48)</f>
        <v>3.3231293656654268E-2</v>
      </c>
      <c r="G48" s="16">
        <f>LN(Sheet8!G49/Sheet8!G48)</f>
        <v>-1.229310199115494E-2</v>
      </c>
      <c r="H48" s="16">
        <f>LN(Sheet8!H49/Sheet8!H48)</f>
        <v>-1.178795575204224E-2</v>
      </c>
      <c r="I48" s="16">
        <f>LN(Sheet8!I49/Sheet8!I48)</f>
        <v>-4.4890840514221639E-2</v>
      </c>
      <c r="J48" s="16">
        <f>LN(Sheet8!J49/Sheet8!J48)</f>
        <v>-5.6512210263342216E-2</v>
      </c>
      <c r="K48" s="16">
        <f>LN(Sheet8!K49/Sheet8!K48)</f>
        <v>5.1464645962457208E-2</v>
      </c>
    </row>
    <row r="49" spans="1:11" x14ac:dyDescent="0.4">
      <c r="A49" s="14">
        <v>40513</v>
      </c>
      <c r="B49" s="16">
        <f>LN(Sheet8!B50/Sheet8!B49)</f>
        <v>-1.9799995720694887E-2</v>
      </c>
      <c r="C49" s="16">
        <f>LN(Sheet8!C50/Sheet8!C49)</f>
        <v>0.18377038246392727</v>
      </c>
      <c r="D49" s="16">
        <f>LN(Sheet8!D50/Sheet8!D49)</f>
        <v>0.1854082297019693</v>
      </c>
      <c r="E49" s="16">
        <f>LN(Sheet8!E50/Sheet8!E49)</f>
        <v>9.9696394241415021E-2</v>
      </c>
      <c r="F49" s="16">
        <f>LN(Sheet8!F50/Sheet8!F49)</f>
        <v>3.6014054427722354E-2</v>
      </c>
      <c r="G49" s="16">
        <f>LN(Sheet8!G50/Sheet8!G49)</f>
        <v>3.6839231069499115E-2</v>
      </c>
      <c r="H49" s="16">
        <f>LN(Sheet8!H50/Sheet8!H49)</f>
        <v>0.15188951436412129</v>
      </c>
      <c r="I49" s="16">
        <f>LN(Sheet8!I50/Sheet8!I49)</f>
        <v>0.19841420710341864</v>
      </c>
      <c r="J49" s="16">
        <f>LN(Sheet8!J50/Sheet8!J49)</f>
        <v>7.1659425043255232E-2</v>
      </c>
      <c r="K49" s="16">
        <f>LN(Sheet8!K50/Sheet8!K49)</f>
        <v>4.9931017397770804E-2</v>
      </c>
    </row>
    <row r="50" spans="1:11" x14ac:dyDescent="0.4">
      <c r="A50" s="14">
        <v>40546</v>
      </c>
      <c r="B50" s="16">
        <f>LN(Sheet8!B51/Sheet8!B50)</f>
        <v>-4.1096044505331546E-2</v>
      </c>
      <c r="C50" s="16">
        <f>LN(Sheet8!C51/Sheet8!C50)</f>
        <v>-1.2836256040867838E-2</v>
      </c>
      <c r="D50" s="16">
        <f>LN(Sheet8!D51/Sheet8!D50)</f>
        <v>-4.4500917112723415E-2</v>
      </c>
      <c r="E50" s="16">
        <f>LN(Sheet8!E51/Sheet8!E50)</f>
        <v>-6.642090839855082E-3</v>
      </c>
      <c r="F50" s="16">
        <f>LN(Sheet8!F51/Sheet8!F50)</f>
        <v>5.0654449496584847E-2</v>
      </c>
      <c r="G50" s="16">
        <f>LN(Sheet8!G51/Sheet8!G50)</f>
        <v>-1.5475772108379934E-2</v>
      </c>
      <c r="H50" s="16">
        <f>LN(Sheet8!H51/Sheet8!H50)</f>
        <v>9.649279042625393E-2</v>
      </c>
      <c r="I50" s="16">
        <f>LN(Sheet8!I51/Sheet8!I50)</f>
        <v>2.8212710094356341E-2</v>
      </c>
      <c r="J50" s="16">
        <f>LN(Sheet8!J51/Sheet8!J50)</f>
        <v>3.9498208298897095E-2</v>
      </c>
      <c r="K50" s="16">
        <f>LN(Sheet8!K51/Sheet8!K50)</f>
        <v>9.832569408757072E-2</v>
      </c>
    </row>
    <row r="51" spans="1:11" x14ac:dyDescent="0.4">
      <c r="A51" s="14">
        <v>40575</v>
      </c>
      <c r="B51" s="16">
        <f>LN(Sheet8!B52/Sheet8!B51)</f>
        <v>3.5038275425162024E-2</v>
      </c>
      <c r="C51" s="16">
        <f>LN(Sheet8!C52/Sheet8!C51)</f>
        <v>-2.2721324115705889E-3</v>
      </c>
      <c r="D51" s="16">
        <f>LN(Sheet8!D52/Sheet8!D51)</f>
        <v>1.0403580408377459E-2</v>
      </c>
      <c r="E51" s="16">
        <f>LN(Sheet8!E52/Sheet8!E51)</f>
        <v>-3.6189399605148324E-2</v>
      </c>
      <c r="F51" s="16">
        <f>LN(Sheet8!F52/Sheet8!F51)</f>
        <v>4.01191659602591E-2</v>
      </c>
      <c r="G51" s="16">
        <f>LN(Sheet8!G52/Sheet8!G51)</f>
        <v>7.0510291344624373E-2</v>
      </c>
      <c r="H51" s="16">
        <f>LN(Sheet8!H52/Sheet8!H51)</f>
        <v>4.4719835130745081E-2</v>
      </c>
      <c r="I51" s="16">
        <f>LN(Sheet8!I52/Sheet8!I51)</f>
        <v>4.0177570232450922E-2</v>
      </c>
      <c r="J51" s="16">
        <f>LN(Sheet8!J52/Sheet8!J51)</f>
        <v>6.5441292707415222E-2</v>
      </c>
      <c r="K51" s="16">
        <f>LN(Sheet8!K52/Sheet8!K51)</f>
        <v>6.3637055996329475E-2</v>
      </c>
    </row>
    <row r="52" spans="1:11" x14ac:dyDescent="0.4">
      <c r="A52" s="14">
        <v>40603</v>
      </c>
      <c r="B52" s="16">
        <f>LN(Sheet8!B53/Sheet8!B52)</f>
        <v>5.3864929591040129E-3</v>
      </c>
      <c r="C52" s="16">
        <f>LN(Sheet8!C53/Sheet8!C52)</f>
        <v>-6.3757257433006392E-2</v>
      </c>
      <c r="D52" s="16">
        <f>LN(Sheet8!D53/Sheet8!D52)</f>
        <v>-1.4368468072037822E-2</v>
      </c>
      <c r="E52" s="16">
        <f>LN(Sheet8!E53/Sheet8!E52)</f>
        <v>-4.5953500328397283E-2</v>
      </c>
      <c r="F52" s="16">
        <f>LN(Sheet8!F53/Sheet8!F52)</f>
        <v>-1.3395856706299903E-2</v>
      </c>
      <c r="G52" s="16">
        <f>LN(Sheet8!G53/Sheet8!G52)</f>
        <v>7.8103073472774644E-3</v>
      </c>
      <c r="H52" s="16">
        <f>LN(Sheet8!H53/Sheet8!H52)</f>
        <v>-4.2153757253584091E-2</v>
      </c>
      <c r="I52" s="16">
        <f>LN(Sheet8!I53/Sheet8!I52)</f>
        <v>-6.8390280326807149E-2</v>
      </c>
      <c r="J52" s="16">
        <f>LN(Sheet8!J53/Sheet8!J52)</f>
        <v>5.3753719308320881E-2</v>
      </c>
      <c r="K52" s="16">
        <f>LN(Sheet8!K53/Sheet8!K52)</f>
        <v>-1.6537283147512148E-2</v>
      </c>
    </row>
    <row r="53" spans="1:11" x14ac:dyDescent="0.4">
      <c r="A53" s="14">
        <v>40634</v>
      </c>
      <c r="B53" s="16">
        <f>LN(Sheet8!B54/Sheet8!B53)</f>
        <v>2.8726576537742146E-2</v>
      </c>
      <c r="C53" s="16">
        <f>LN(Sheet8!C54/Sheet8!C53)</f>
        <v>-0.12266719291832286</v>
      </c>
      <c r="D53" s="16">
        <f>LN(Sheet8!D54/Sheet8!D53)</f>
        <v>2.5218484096103635E-2</v>
      </c>
      <c r="E53" s="16">
        <f>LN(Sheet8!E54/Sheet8!E53)</f>
        <v>2.0684906153512109E-2</v>
      </c>
      <c r="F53" s="16">
        <f>LN(Sheet8!F54/Sheet8!F53)</f>
        <v>4.6375898988789757E-3</v>
      </c>
      <c r="G53" s="16">
        <f>LN(Sheet8!G54/Sheet8!G53)</f>
        <v>5.9127799491237198E-2</v>
      </c>
      <c r="H53" s="16">
        <f>LN(Sheet8!H54/Sheet8!H53)</f>
        <v>1.9792577095426703E-2</v>
      </c>
      <c r="I53" s="16">
        <f>LN(Sheet8!I54/Sheet8!I53)</f>
        <v>-8.2367194349206668E-2</v>
      </c>
      <c r="J53" s="16">
        <f>LN(Sheet8!J54/Sheet8!J53)</f>
        <v>3.2309726132230598E-2</v>
      </c>
      <c r="K53" s="16">
        <f>LN(Sheet8!K54/Sheet8!K53)</f>
        <v>4.4748065140251869E-2</v>
      </c>
    </row>
    <row r="54" spans="1:11" x14ac:dyDescent="0.4">
      <c r="A54" s="14">
        <v>40665</v>
      </c>
      <c r="B54" s="16">
        <f>LN(Sheet8!B55/Sheet8!B54)</f>
        <v>4.7901145357556636E-2</v>
      </c>
      <c r="C54" s="16">
        <f>LN(Sheet8!C55/Sheet8!C54)</f>
        <v>-3.3007711482748128E-2</v>
      </c>
      <c r="D54" s="16">
        <f>LN(Sheet8!D55/Sheet8!D54)</f>
        <v>-9.7276694307525613E-2</v>
      </c>
      <c r="E54" s="16">
        <f>LN(Sheet8!E55/Sheet8!E54)</f>
        <v>-2.9161243483225494E-2</v>
      </c>
      <c r="F54" s="16">
        <f>LN(Sheet8!F55/Sheet8!F54)</f>
        <v>-6.5906594228294924E-3</v>
      </c>
      <c r="G54" s="16">
        <f>LN(Sheet8!G55/Sheet8!G54)</f>
        <v>2.3224664302522566E-3</v>
      </c>
      <c r="H54" s="16">
        <f>LN(Sheet8!H55/Sheet8!H54)</f>
        <v>-4.0507973478264979E-2</v>
      </c>
      <c r="I54" s="16">
        <f>LN(Sheet8!I55/Sheet8!I54)</f>
        <v>-4.4303107895370696E-2</v>
      </c>
      <c r="J54" s="16">
        <f>LN(Sheet8!J55/Sheet8!J54)</f>
        <v>3.2260862218221477E-2</v>
      </c>
      <c r="K54" s="16">
        <f>LN(Sheet8!K55/Sheet8!K54)</f>
        <v>-4.6941315684363057E-2</v>
      </c>
    </row>
    <row r="55" spans="1:11" x14ac:dyDescent="0.4">
      <c r="A55" s="14">
        <v>40695</v>
      </c>
      <c r="B55" s="16">
        <f>LN(Sheet8!B56/Sheet8!B55)</f>
        <v>3.3515857203127275E-2</v>
      </c>
      <c r="C55" s="16">
        <f>LN(Sheet8!C56/Sheet8!C55)</f>
        <v>-1.5265513813927081E-3</v>
      </c>
      <c r="D55" s="16">
        <f>LN(Sheet8!D56/Sheet8!D55)</f>
        <v>3.8587111104558085E-2</v>
      </c>
      <c r="E55" s="16">
        <f>LN(Sheet8!E56/Sheet8!E55)</f>
        <v>3.856570151120399E-2</v>
      </c>
      <c r="F55" s="16">
        <f>LN(Sheet8!F56/Sheet8!F55)</f>
        <v>-3.5585320181802882E-2</v>
      </c>
      <c r="G55" s="16">
        <f>LN(Sheet8!G56/Sheet8!G55)</f>
        <v>-2.9701567606909271E-2</v>
      </c>
      <c r="H55" s="16">
        <f>LN(Sheet8!H56/Sheet8!H55)</f>
        <v>-3.2441026167902481E-2</v>
      </c>
      <c r="I55" s="16">
        <f>LN(Sheet8!I56/Sheet8!I55)</f>
        <v>-6.8992871486951435E-2</v>
      </c>
      <c r="J55" s="16">
        <f>LN(Sheet8!J56/Sheet8!J55)</f>
        <v>-4.0741830986603514E-2</v>
      </c>
      <c r="K55" s="16">
        <f>LN(Sheet8!K56/Sheet8!K55)</f>
        <v>-2.5324063438263735E-2</v>
      </c>
    </row>
    <row r="56" spans="1:11" x14ac:dyDescent="0.4">
      <c r="A56" s="14">
        <v>40725</v>
      </c>
      <c r="B56" s="16">
        <f>LN(Sheet8!B57/Sheet8!B56)</f>
        <v>2.5299763794067644E-2</v>
      </c>
      <c r="C56" s="16">
        <f>LN(Sheet8!C57/Sheet8!C56)</f>
        <v>-0.1408537647349575</v>
      </c>
      <c r="D56" s="16">
        <f>LN(Sheet8!D57/Sheet8!D56)</f>
        <v>-0.10967340217062864</v>
      </c>
      <c r="E56" s="16">
        <f>LN(Sheet8!E57/Sheet8!E56)</f>
        <v>5.2423700479583425E-2</v>
      </c>
      <c r="F56" s="16">
        <f>LN(Sheet8!F57/Sheet8!F56)</f>
        <v>0.15124821709115263</v>
      </c>
      <c r="G56" s="16">
        <f>LN(Sheet8!G57/Sheet8!G56)</f>
        <v>8.2380328593423344E-3</v>
      </c>
      <c r="H56" s="16">
        <f>LN(Sheet8!H57/Sheet8!H56)</f>
        <v>-5.1577829885273235E-2</v>
      </c>
      <c r="I56" s="16">
        <f>LN(Sheet8!I57/Sheet8!I56)</f>
        <v>-0.12053406902827338</v>
      </c>
      <c r="J56" s="16">
        <f>LN(Sheet8!J57/Sheet8!J56)</f>
        <v>-6.7884124793493525E-2</v>
      </c>
      <c r="K56" s="16">
        <f>LN(Sheet8!K57/Sheet8!K56)</f>
        <v>-1.9710050573154458E-2</v>
      </c>
    </row>
    <row r="57" spans="1:11" x14ac:dyDescent="0.4">
      <c r="A57" s="14">
        <v>40756</v>
      </c>
      <c r="B57" s="16">
        <f>LN(Sheet8!B58/Sheet8!B57)</f>
        <v>5.1211189210772952E-2</v>
      </c>
      <c r="C57" s="16">
        <f>LN(Sheet8!C58/Sheet8!C57)</f>
        <v>-0.28233625283811614</v>
      </c>
      <c r="D57" s="16">
        <f>LN(Sheet8!D58/Sheet8!D57)</f>
        <v>-0.33988341809742306</v>
      </c>
      <c r="E57" s="16">
        <f>LN(Sheet8!E58/Sheet8!E57)</f>
        <v>-2.3213322379782304E-2</v>
      </c>
      <c r="F57" s="16">
        <f>LN(Sheet8!F58/Sheet8!F57)</f>
        <v>-1.4575073248301941E-2</v>
      </c>
      <c r="G57" s="16">
        <f>LN(Sheet8!G58/Sheet8!G57)</f>
        <v>-1.8585501384766803E-2</v>
      </c>
      <c r="H57" s="16">
        <f>LN(Sheet8!H58/Sheet8!H57)</f>
        <v>-9.3604179959224654E-2</v>
      </c>
      <c r="I57" s="16">
        <f>LN(Sheet8!I58/Sheet8!I57)</f>
        <v>-0.17204397403571417</v>
      </c>
      <c r="J57" s="16">
        <f>LN(Sheet8!J58/Sheet8!J57)</f>
        <v>-2.6845653706688757E-3</v>
      </c>
      <c r="K57" s="16">
        <f>LN(Sheet8!K58/Sheet8!K57)</f>
        <v>-6.8519041473712392E-2</v>
      </c>
    </row>
    <row r="58" spans="1:11" x14ac:dyDescent="0.4">
      <c r="A58" s="14">
        <v>40787</v>
      </c>
      <c r="B58" s="16">
        <f>LN(Sheet8!B59/Sheet8!B58)</f>
        <v>-2.9171090471418189E-2</v>
      </c>
      <c r="C58" s="16">
        <f>LN(Sheet8!C59/Sheet8!C58)</f>
        <v>-0.31321920460519154</v>
      </c>
      <c r="D58" s="16">
        <f>LN(Sheet8!D59/Sheet8!D58)</f>
        <v>-0.32294863870380613</v>
      </c>
      <c r="E58" s="16">
        <f>LN(Sheet8!E59/Sheet8!E58)</f>
        <v>-6.6560766518338907E-2</v>
      </c>
      <c r="F58" s="16">
        <f>LN(Sheet8!F59/Sheet8!F58)</f>
        <v>-9.1627607052127934E-3</v>
      </c>
      <c r="G58" s="16">
        <f>LN(Sheet8!G59/Sheet8!G58)</f>
        <v>-2.1021795142220624E-2</v>
      </c>
      <c r="H58" s="16">
        <f>LN(Sheet8!H59/Sheet8!H58)</f>
        <v>-5.9882709601377128E-2</v>
      </c>
      <c r="I58" s="16">
        <f>LN(Sheet8!I59/Sheet8!I58)</f>
        <v>-0.28809115406926739</v>
      </c>
      <c r="J58" s="16">
        <f>LN(Sheet8!J59/Sheet8!J58)</f>
        <v>-7.1299677584866494E-2</v>
      </c>
      <c r="K58" s="16">
        <f>LN(Sheet8!K59/Sheet8!K58)</f>
        <v>-1.8898417468834704E-2</v>
      </c>
    </row>
    <row r="59" spans="1:11" x14ac:dyDescent="0.4">
      <c r="A59" s="14">
        <v>40819</v>
      </c>
      <c r="B59" s="16">
        <f>LN(Sheet8!B60/Sheet8!B59)</f>
        <v>5.5780686871162034E-2</v>
      </c>
      <c r="C59" s="16">
        <f>LN(Sheet8!C60/Sheet8!C59)</f>
        <v>0.14130646655301857</v>
      </c>
      <c r="D59" s="16">
        <f>LN(Sheet8!D60/Sheet8!D59)</f>
        <v>0.26470732909503208</v>
      </c>
      <c r="E59" s="16">
        <f>LN(Sheet8!E60/Sheet8!E59)</f>
        <v>6.7696484982266283E-2</v>
      </c>
      <c r="F59" s="16">
        <f>LN(Sheet8!F60/Sheet8!F59)</f>
        <v>5.9704792012682126E-2</v>
      </c>
      <c r="G59" s="16">
        <f>LN(Sheet8!G60/Sheet8!G59)</f>
        <v>1.8976614546478383E-2</v>
      </c>
      <c r="H59" s="16">
        <f>LN(Sheet8!H60/Sheet8!H59)</f>
        <v>9.3680089184667831E-2</v>
      </c>
      <c r="I59" s="16">
        <f>LN(Sheet8!I60/Sheet8!I59)</f>
        <v>0.10993269867186685</v>
      </c>
      <c r="J59" s="16">
        <f>LN(Sheet8!J60/Sheet8!J59)</f>
        <v>8.5711456246169743E-2</v>
      </c>
      <c r="K59" s="16">
        <f>LN(Sheet8!K60/Sheet8!K59)</f>
        <v>7.2375714908504238E-2</v>
      </c>
    </row>
    <row r="60" spans="1:11" x14ac:dyDescent="0.4">
      <c r="A60" s="14">
        <v>40848</v>
      </c>
      <c r="B60" s="16">
        <f>LN(Sheet8!B61/Sheet8!B60)</f>
        <v>3.5809452696710778E-2</v>
      </c>
      <c r="C60" s="16">
        <f>LN(Sheet8!C61/Sheet8!C60)</f>
        <v>7.5802504868283854E-2</v>
      </c>
      <c r="D60" s="16">
        <f>LN(Sheet8!D61/Sheet8!D60)</f>
        <v>-8.2279890570871095E-2</v>
      </c>
      <c r="E60" s="16">
        <f>LN(Sheet8!E61/Sheet8!E60)</f>
        <v>-3.2688932465501211E-2</v>
      </c>
      <c r="F60" s="16">
        <f>LN(Sheet8!F61/Sheet8!F60)</f>
        <v>-5.7399677831886937E-2</v>
      </c>
      <c r="G60" s="16">
        <f>LN(Sheet8!G61/Sheet8!G60)</f>
        <v>-8.8891220042896013E-2</v>
      </c>
      <c r="H60" s="16">
        <f>LN(Sheet8!H61/Sheet8!H60)</f>
        <v>-4.8911017393338939E-2</v>
      </c>
      <c r="I60" s="16">
        <f>LN(Sheet8!I61/Sheet8!I60)</f>
        <v>-0.22608041098751938</v>
      </c>
      <c r="J60" s="16">
        <f>LN(Sheet8!J61/Sheet8!J60)</f>
        <v>5.1134299236567683E-2</v>
      </c>
      <c r="K60" s="16">
        <f>LN(Sheet8!K61/Sheet8!K60)</f>
        <v>3.5627177643151035E-2</v>
      </c>
    </row>
    <row r="61" spans="1:11" x14ac:dyDescent="0.4">
      <c r="A61" s="14">
        <v>40878</v>
      </c>
      <c r="B61" s="16">
        <f>LN(Sheet8!B62/Sheet8!B61)</f>
        <v>4.912910329322951E-2</v>
      </c>
      <c r="C61" s="16">
        <f>LN(Sheet8!C62/Sheet8!C61)</f>
        <v>-3.1299127174207235E-2</v>
      </c>
      <c r="D61" s="16">
        <f>LN(Sheet8!D62/Sheet8!D61)</f>
        <v>-3.7760688983387289E-2</v>
      </c>
      <c r="E61" s="16">
        <f>LN(Sheet8!E62/Sheet8!E61)</f>
        <v>1.4746095685192809E-2</v>
      </c>
      <c r="F61" s="16">
        <f>LN(Sheet8!F62/Sheet8!F61)</f>
        <v>5.794303530036643E-2</v>
      </c>
      <c r="G61" s="16">
        <f>LN(Sheet8!G62/Sheet8!G61)</f>
        <v>2.8278230394057746E-2</v>
      </c>
      <c r="H61" s="16">
        <f>LN(Sheet8!H62/Sheet8!H61)</f>
        <v>0.12788413164288739</v>
      </c>
      <c r="I61" s="16">
        <f>LN(Sheet8!I62/Sheet8!I61)</f>
        <v>2.1819047394639673E-2</v>
      </c>
      <c r="J61" s="16">
        <f>LN(Sheet8!J62/Sheet8!J61)</f>
        <v>7.5617406402576193E-2</v>
      </c>
      <c r="K61" s="16">
        <f>LN(Sheet8!K62/Sheet8!K61)</f>
        <v>5.2355230333928124E-2</v>
      </c>
    </row>
    <row r="62" spans="1:11" x14ac:dyDescent="0.4">
      <c r="A62" s="14">
        <v>40911</v>
      </c>
      <c r="B62" s="16">
        <f>LN(Sheet8!B63/Sheet8!B62)</f>
        <v>-1.2839979792961495E-2</v>
      </c>
      <c r="C62" s="16">
        <f>LN(Sheet8!C63/Sheet8!C62)</f>
        <v>0.13173189410417016</v>
      </c>
      <c r="D62" s="16">
        <f>LN(Sheet8!D63/Sheet8!D62)</f>
        <v>0.1205280277725379</v>
      </c>
      <c r="E62" s="16">
        <f>LN(Sheet8!E63/Sheet8!E62)</f>
        <v>0.12884980391994208</v>
      </c>
      <c r="F62" s="16">
        <f>LN(Sheet8!F63/Sheet8!F62)</f>
        <v>0.11965782035865079</v>
      </c>
      <c r="G62" s="16">
        <f>LN(Sheet8!G63/Sheet8!G62)</f>
        <v>-2.0981886715550901E-2</v>
      </c>
      <c r="H62" s="16">
        <f>LN(Sheet8!H63/Sheet8!H62)</f>
        <v>4.3698924213377906E-2</v>
      </c>
      <c r="I62" s="16">
        <f>LN(Sheet8!I63/Sheet8!I62)</f>
        <v>0.24871312616371358</v>
      </c>
      <c r="J62" s="16">
        <f>LN(Sheet8!J63/Sheet8!J62)</f>
        <v>-1.1267724846342381E-2</v>
      </c>
      <c r="K62" s="16">
        <f>LN(Sheet8!K63/Sheet8!K62)</f>
        <v>-1.2173440701096267E-2</v>
      </c>
    </row>
    <row r="63" spans="1:11" x14ac:dyDescent="0.4">
      <c r="A63" s="14">
        <v>40940</v>
      </c>
      <c r="B63" s="16">
        <f>LN(Sheet8!B64/Sheet8!B63)</f>
        <v>9.4454078431981461E-3</v>
      </c>
      <c r="C63" s="16">
        <f>LN(Sheet8!C64/Sheet8!C63)</f>
        <v>2.8456539914008223E-2</v>
      </c>
      <c r="D63" s="16">
        <f>LN(Sheet8!D64/Sheet8!D63)</f>
        <v>0.12705334026908616</v>
      </c>
      <c r="E63" s="16">
        <f>LN(Sheet8!E64/Sheet8!E63)</f>
        <v>4.1133493578119122E-2</v>
      </c>
      <c r="F63" s="16">
        <f>LN(Sheet8!F64/Sheet8!F63)</f>
        <v>7.7309054724338758E-2</v>
      </c>
      <c r="G63" s="16">
        <f>LN(Sheet8!G64/Sheet8!G63)</f>
        <v>1.3837581670273408E-2</v>
      </c>
      <c r="H63" s="16">
        <f>LN(Sheet8!H64/Sheet8!H63)</f>
        <v>2.2199643166163095E-2</v>
      </c>
      <c r="I63" s="16">
        <f>LN(Sheet8!I64/Sheet8!I63)</f>
        <v>0.13738091618845114</v>
      </c>
      <c r="J63" s="16">
        <f>LN(Sheet8!J64/Sheet8!J63)</f>
        <v>-1.890359731168784E-3</v>
      </c>
      <c r="K63" s="16">
        <f>LN(Sheet8!K64/Sheet8!K63)</f>
        <v>1.9030069999014219E-2</v>
      </c>
    </row>
  </sheetData>
  <mergeCells count="1">
    <mergeCell ref="A1:K1"/>
  </mergeCells>
  <phoneticPr fontId="1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33BF8-FCB4-4316-B49D-228437C65367}">
  <sheetPr codeName="Sheet10"/>
  <dimension ref="A1:K14"/>
  <sheetViews>
    <sheetView workbookViewId="0">
      <selection activeCell="G18" sqref="G18"/>
    </sheetView>
  </sheetViews>
  <sheetFormatPr defaultRowHeight="13.9" x14ac:dyDescent="0.4"/>
  <sheetData>
    <row r="1" spans="1:11" ht="17.649999999999999" x14ac:dyDescent="0.5">
      <c r="A1" s="30" t="s">
        <v>51</v>
      </c>
      <c r="B1" s="30"/>
      <c r="C1" s="30"/>
      <c r="D1" s="30"/>
      <c r="E1" s="30"/>
      <c r="F1" s="30"/>
      <c r="G1" s="30"/>
      <c r="H1" s="30"/>
      <c r="I1" s="30"/>
      <c r="J1" s="30"/>
      <c r="K1" s="30"/>
    </row>
    <row r="2" spans="1:11" x14ac:dyDescent="0.4">
      <c r="A2" s="17"/>
      <c r="B2" s="13" t="s">
        <v>39</v>
      </c>
      <c r="C2" s="13" t="s">
        <v>40</v>
      </c>
      <c r="D2" s="13" t="s">
        <v>41</v>
      </c>
      <c r="E2" s="13" t="s">
        <v>42</v>
      </c>
      <c r="F2" s="13" t="s">
        <v>43</v>
      </c>
      <c r="G2" s="13" t="s">
        <v>44</v>
      </c>
      <c r="H2" s="13" t="s">
        <v>45</v>
      </c>
      <c r="I2" s="13" t="s">
        <v>46</v>
      </c>
      <c r="J2" s="13" t="s">
        <v>47</v>
      </c>
      <c r="K2" s="13" t="s">
        <v>48</v>
      </c>
    </row>
    <row r="3" spans="1:11" x14ac:dyDescent="0.4">
      <c r="A3" s="13" t="s">
        <v>39</v>
      </c>
      <c r="B3" s="18">
        <f t="array" ref="B3:K12">VarCovar(Sheet9!B4:K63)</f>
        <v>2.014669301787638E-3</v>
      </c>
      <c r="C3" s="18">
        <v>3.6761006425108608E-3</v>
      </c>
      <c r="D3" s="18">
        <v>2.8326517183395786E-3</v>
      </c>
      <c r="E3" s="18">
        <v>1.5068893102727231E-3</v>
      </c>
      <c r="F3" s="18">
        <v>1.7012049789817761E-3</v>
      </c>
      <c r="G3" s="18">
        <v>6.7418965384680391E-4</v>
      </c>
      <c r="H3" s="18">
        <v>2.0130817978212482E-3</v>
      </c>
      <c r="I3" s="18">
        <v>3.1195764017999156E-3</v>
      </c>
      <c r="J3" s="18">
        <v>1.54660491920409E-3</v>
      </c>
      <c r="K3" s="18">
        <v>1.0873395807910959E-3</v>
      </c>
    </row>
    <row r="4" spans="1:11" x14ac:dyDescent="0.4">
      <c r="A4" s="13" t="s">
        <v>40</v>
      </c>
      <c r="B4" s="18">
        <v>3.6761006425108608E-3</v>
      </c>
      <c r="C4" s="18">
        <v>3.8041039892533039E-2</v>
      </c>
      <c r="D4" s="18">
        <v>2.8381912395997088E-2</v>
      </c>
      <c r="E4" s="18">
        <v>7.5670881946833168E-3</v>
      </c>
      <c r="F4" s="18">
        <v>1.1072669466248693E-2</v>
      </c>
      <c r="G4" s="18">
        <v>3.0878115163005758E-3</v>
      </c>
      <c r="H4" s="18">
        <v>1.2709664004660819E-2</v>
      </c>
      <c r="I4" s="18">
        <v>1.7614276675809941E-2</v>
      </c>
      <c r="J4" s="18">
        <v>4.3361306101261749E-3</v>
      </c>
      <c r="K4" s="18">
        <v>4.3458938851077353E-3</v>
      </c>
    </row>
    <row r="5" spans="1:11" x14ac:dyDescent="0.4">
      <c r="A5" s="13" t="s">
        <v>41</v>
      </c>
      <c r="B5" s="18">
        <v>2.8326517183395786E-3</v>
      </c>
      <c r="C5" s="18">
        <v>2.8381912395997088E-2</v>
      </c>
      <c r="D5" s="18">
        <v>2.6744902953830467E-2</v>
      </c>
      <c r="E5" s="18">
        <v>6.5337988947746306E-3</v>
      </c>
      <c r="F5" s="18">
        <v>9.6784287201410885E-3</v>
      </c>
      <c r="G5" s="18">
        <v>3.1054842537313388E-3</v>
      </c>
      <c r="H5" s="18">
        <v>1.0214556993614326E-2</v>
      </c>
      <c r="I5" s="18">
        <v>1.3301538961550181E-2</v>
      </c>
      <c r="J5" s="18">
        <v>3.7509187105394027E-3</v>
      </c>
      <c r="K5" s="18">
        <v>3.8607106799444599E-3</v>
      </c>
    </row>
    <row r="6" spans="1:11" x14ac:dyDescent="0.4">
      <c r="A6" s="13" t="s">
        <v>42</v>
      </c>
      <c r="B6" s="18">
        <v>1.5068893102727231E-3</v>
      </c>
      <c r="C6" s="18">
        <v>7.5670881946833168E-3</v>
      </c>
      <c r="D6" s="18">
        <v>6.5337988947746306E-3</v>
      </c>
      <c r="E6" s="18">
        <v>6.2740718870916579E-3</v>
      </c>
      <c r="F6" s="18">
        <v>4.8837758375691919E-3</v>
      </c>
      <c r="G6" s="18">
        <v>9.8454095020270482E-4</v>
      </c>
      <c r="H6" s="18">
        <v>4.6433712806725445E-3</v>
      </c>
      <c r="I6" s="18">
        <v>7.930323550516748E-3</v>
      </c>
      <c r="J6" s="18">
        <v>1.7866236292419595E-3</v>
      </c>
      <c r="K6" s="18">
        <v>1.4493681340557922E-3</v>
      </c>
    </row>
    <row r="7" spans="1:11" x14ac:dyDescent="0.4">
      <c r="A7" s="13" t="s">
        <v>43</v>
      </c>
      <c r="B7" s="18">
        <v>1.7012049789817761E-3</v>
      </c>
      <c r="C7" s="18">
        <v>1.1072669466248693E-2</v>
      </c>
      <c r="D7" s="18">
        <v>9.6784287201410885E-3</v>
      </c>
      <c r="E7" s="18">
        <v>4.8837758375691919E-3</v>
      </c>
      <c r="F7" s="18">
        <v>1.2578638001137338E-2</v>
      </c>
      <c r="G7" s="18">
        <v>1.6306187981742399E-3</v>
      </c>
      <c r="H7" s="18">
        <v>4.906497069694679E-3</v>
      </c>
      <c r="I7" s="18">
        <v>4.9020600396291599E-3</v>
      </c>
      <c r="J7" s="18">
        <v>6.7469843124149493E-4</v>
      </c>
      <c r="K7" s="18">
        <v>1.9627589568928503E-3</v>
      </c>
    </row>
    <row r="8" spans="1:11" x14ac:dyDescent="0.4">
      <c r="A8" s="13" t="s">
        <v>44</v>
      </c>
      <c r="B8" s="18">
        <v>6.7418965384680391E-4</v>
      </c>
      <c r="C8" s="18">
        <v>3.0878115163005758E-3</v>
      </c>
      <c r="D8" s="18">
        <v>3.1054842537313388E-3</v>
      </c>
      <c r="E8" s="18">
        <v>9.8454095020270482E-4</v>
      </c>
      <c r="F8" s="18">
        <v>1.6306187981742399E-3</v>
      </c>
      <c r="G8" s="18">
        <v>2.6457724409858102E-3</v>
      </c>
      <c r="H8" s="18">
        <v>2.7511454375960952E-3</v>
      </c>
      <c r="I8" s="18">
        <v>4.6491017065433031E-3</v>
      </c>
      <c r="J8" s="18">
        <v>1.1420820280496065E-3</v>
      </c>
      <c r="K8" s="18">
        <v>3.2434070598800769E-4</v>
      </c>
    </row>
    <row r="9" spans="1:11" x14ac:dyDescent="0.4">
      <c r="A9" s="13" t="s">
        <v>45</v>
      </c>
      <c r="B9" s="18">
        <v>2.0130817978212482E-3</v>
      </c>
      <c r="C9" s="18">
        <v>1.2709664004660819E-2</v>
      </c>
      <c r="D9" s="18">
        <v>1.0214556993614326E-2</v>
      </c>
      <c r="E9" s="18">
        <v>4.6433712806725445E-3</v>
      </c>
      <c r="F9" s="18">
        <v>4.906497069694679E-3</v>
      </c>
      <c r="G9" s="18">
        <v>2.7511454375960952E-3</v>
      </c>
      <c r="H9" s="18">
        <v>1.2180131150308996E-2</v>
      </c>
      <c r="I9" s="18">
        <v>1.632323770989718E-2</v>
      </c>
      <c r="J9" s="18">
        <v>4.1055218889163676E-3</v>
      </c>
      <c r="K9" s="18">
        <v>2.2140821923514668E-3</v>
      </c>
    </row>
    <row r="10" spans="1:11" x14ac:dyDescent="0.4">
      <c r="A10" s="13" t="s">
        <v>46</v>
      </c>
      <c r="B10" s="18">
        <v>3.1195764017999156E-3</v>
      </c>
      <c r="C10" s="18">
        <v>1.7614276675809941E-2</v>
      </c>
      <c r="D10" s="18">
        <v>1.3301538961550181E-2</v>
      </c>
      <c r="E10" s="18">
        <v>7.930323550516748E-3</v>
      </c>
      <c r="F10" s="18">
        <v>4.9020600396291599E-3</v>
      </c>
      <c r="G10" s="18">
        <v>4.6491017065433031E-3</v>
      </c>
      <c r="H10" s="18">
        <v>1.632323770989718E-2</v>
      </c>
      <c r="I10" s="18">
        <v>3.9298011589700907E-2</v>
      </c>
      <c r="J10" s="18">
        <v>7.9876833727869634E-3</v>
      </c>
      <c r="K10" s="18">
        <v>1.744826578120965E-3</v>
      </c>
    </row>
    <row r="11" spans="1:11" x14ac:dyDescent="0.4">
      <c r="A11" s="13" t="s">
        <v>47</v>
      </c>
      <c r="B11" s="18">
        <v>1.54660491920409E-3</v>
      </c>
      <c r="C11" s="18">
        <v>4.3361306101261749E-3</v>
      </c>
      <c r="D11" s="18">
        <v>3.7509187105394027E-3</v>
      </c>
      <c r="E11" s="18">
        <v>1.7866236292419595E-3</v>
      </c>
      <c r="F11" s="18">
        <v>6.7469843124149493E-4</v>
      </c>
      <c r="G11" s="18">
        <v>1.1420820280496065E-3</v>
      </c>
      <c r="H11" s="18">
        <v>4.1055218889163676E-3</v>
      </c>
      <c r="I11" s="18">
        <v>7.9876833727869634E-3</v>
      </c>
      <c r="J11" s="18">
        <v>4.0548996208899868E-3</v>
      </c>
      <c r="K11" s="18">
        <v>1.1175837215407188E-3</v>
      </c>
    </row>
    <row r="12" spans="1:11" x14ac:dyDescent="0.4">
      <c r="A12" s="13" t="s">
        <v>48</v>
      </c>
      <c r="B12" s="18">
        <v>1.0873395807910959E-3</v>
      </c>
      <c r="C12" s="18">
        <v>4.3458938851077353E-3</v>
      </c>
      <c r="D12" s="18">
        <v>3.8607106799444599E-3</v>
      </c>
      <c r="E12" s="18">
        <v>1.4493681340557922E-3</v>
      </c>
      <c r="F12" s="18">
        <v>1.9627589568928503E-3</v>
      </c>
      <c r="G12" s="18">
        <v>3.2434070598800769E-4</v>
      </c>
      <c r="H12" s="18">
        <v>2.2140821923514668E-3</v>
      </c>
      <c r="I12" s="18">
        <v>1.744826578120965E-3</v>
      </c>
      <c r="J12" s="18">
        <v>1.1175837215407188E-3</v>
      </c>
      <c r="K12" s="18">
        <v>2.6105570764078955E-3</v>
      </c>
    </row>
    <row r="14" spans="1:11" x14ac:dyDescent="0.4">
      <c r="C14" t="str">
        <f ca="1">_xlfn.FORMULATEXT(C12)</f>
        <v>{=VarCovar(Sheet9!B4:K63)}</v>
      </c>
    </row>
  </sheetData>
  <mergeCells count="1">
    <mergeCell ref="A1:K1"/>
  </mergeCells>
  <phoneticPr fontId="18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EA3F-561F-4259-A6CA-C7361B86F8EF}">
  <sheetPr codeName="Sheet11"/>
  <dimension ref="A1:K14"/>
  <sheetViews>
    <sheetView workbookViewId="0">
      <selection activeCell="L14" sqref="L14"/>
    </sheetView>
  </sheetViews>
  <sheetFormatPr defaultRowHeight="13.9" x14ac:dyDescent="0.4"/>
  <sheetData>
    <row r="1" spans="1:11" ht="17.649999999999999" x14ac:dyDescent="0.5">
      <c r="A1" s="30" t="s">
        <v>52</v>
      </c>
      <c r="B1" s="30"/>
      <c r="C1" s="30"/>
      <c r="D1" s="30"/>
      <c r="E1" s="30"/>
      <c r="F1" s="30"/>
      <c r="G1" s="30"/>
      <c r="H1" s="30"/>
      <c r="I1" s="30"/>
      <c r="J1" s="30"/>
      <c r="K1" s="30"/>
    </row>
    <row r="2" spans="1:11" x14ac:dyDescent="0.4">
      <c r="A2" s="17"/>
      <c r="B2" s="13" t="s">
        <v>39</v>
      </c>
      <c r="C2" s="13" t="s">
        <v>40</v>
      </c>
      <c r="D2" s="13" t="s">
        <v>41</v>
      </c>
      <c r="E2" s="13" t="s">
        <v>42</v>
      </c>
      <c r="F2" s="13" t="s">
        <v>43</v>
      </c>
      <c r="G2" s="13" t="s">
        <v>44</v>
      </c>
      <c r="H2" s="13" t="s">
        <v>45</v>
      </c>
      <c r="I2" s="13" t="s">
        <v>46</v>
      </c>
      <c r="J2" s="13" t="s">
        <v>47</v>
      </c>
      <c r="K2" s="13" t="s">
        <v>48</v>
      </c>
    </row>
    <row r="3" spans="1:11" x14ac:dyDescent="0.4">
      <c r="A3" s="13" t="s">
        <v>39</v>
      </c>
      <c r="B3" s="18">
        <f t="array" ref="B3:K12">CorrMatrix(Sheet9!B4:K63)</f>
        <v>1.0000000000000002</v>
      </c>
      <c r="C3" s="18">
        <v>0.41991299810592475</v>
      </c>
      <c r="D3" s="18">
        <v>0.38589644926171796</v>
      </c>
      <c r="E3" s="18">
        <v>0.42384271442730315</v>
      </c>
      <c r="F3" s="18">
        <v>0.33793871722580465</v>
      </c>
      <c r="G3" s="18">
        <v>0.29201418929901474</v>
      </c>
      <c r="H3" s="18">
        <v>0.40638115019448079</v>
      </c>
      <c r="I3" s="18">
        <v>0.35059720840536679</v>
      </c>
      <c r="J3" s="18">
        <v>0.54111235339707808</v>
      </c>
      <c r="K3" s="18">
        <v>0.47412921470705033</v>
      </c>
    </row>
    <row r="4" spans="1:11" x14ac:dyDescent="0.4">
      <c r="A4" s="13" t="s">
        <v>40</v>
      </c>
      <c r="B4" s="18">
        <v>0.41991299810592475</v>
      </c>
      <c r="C4" s="18">
        <v>0.99999999999999978</v>
      </c>
      <c r="D4" s="18">
        <v>0.88980522550013752</v>
      </c>
      <c r="E4" s="18">
        <v>0.48981024006182483</v>
      </c>
      <c r="F4" s="18">
        <v>0.50618507564757054</v>
      </c>
      <c r="G4" s="18">
        <v>0.30778563620839289</v>
      </c>
      <c r="H4" s="18">
        <v>0.59044832800458269</v>
      </c>
      <c r="I4" s="18">
        <v>0.45556813069809426</v>
      </c>
      <c r="J4" s="18">
        <v>0.3491291501340506</v>
      </c>
      <c r="K4" s="18">
        <v>0.43610024553773946</v>
      </c>
    </row>
    <row r="5" spans="1:11" x14ac:dyDescent="0.4">
      <c r="A5" s="13" t="s">
        <v>41</v>
      </c>
      <c r="B5" s="18">
        <v>0.38589644926171796</v>
      </c>
      <c r="C5" s="18">
        <v>0.88980522550013752</v>
      </c>
      <c r="D5" s="18">
        <v>0.99999999999999989</v>
      </c>
      <c r="E5" s="18">
        <v>0.50439468859688286</v>
      </c>
      <c r="F5" s="18">
        <v>0.52767623265091546</v>
      </c>
      <c r="G5" s="18">
        <v>0.36917524699711818</v>
      </c>
      <c r="H5" s="18">
        <v>0.56594345333112683</v>
      </c>
      <c r="I5" s="18">
        <v>0.41029487243238022</v>
      </c>
      <c r="J5" s="18">
        <v>0.36018621309174897</v>
      </c>
      <c r="K5" s="18">
        <v>0.46204060872259045</v>
      </c>
    </row>
    <row r="6" spans="1:11" x14ac:dyDescent="0.4">
      <c r="A6" s="13" t="s">
        <v>42</v>
      </c>
      <c r="B6" s="18">
        <v>0.42384271442730315</v>
      </c>
      <c r="C6" s="18">
        <v>0.48981024006182483</v>
      </c>
      <c r="D6" s="18">
        <v>0.50439468859688286</v>
      </c>
      <c r="E6" s="18">
        <v>1</v>
      </c>
      <c r="F6" s="18">
        <v>0.54974864454570938</v>
      </c>
      <c r="G6" s="18">
        <v>0.24164777190058784</v>
      </c>
      <c r="H6" s="18">
        <v>0.53116895416628096</v>
      </c>
      <c r="I6" s="18">
        <v>0.50504592707452933</v>
      </c>
      <c r="J6" s="18">
        <v>0.3542160815406743</v>
      </c>
      <c r="K6" s="18">
        <v>0.35812724925983669</v>
      </c>
    </row>
    <row r="7" spans="1:11" x14ac:dyDescent="0.4">
      <c r="A7" s="13" t="s">
        <v>43</v>
      </c>
      <c r="B7" s="18">
        <v>0.33793871722580465</v>
      </c>
      <c r="C7" s="18">
        <v>0.50618507564757054</v>
      </c>
      <c r="D7" s="18">
        <v>0.52767623265091546</v>
      </c>
      <c r="E7" s="18">
        <v>0.54974864454570938</v>
      </c>
      <c r="F7" s="18">
        <v>0.99999999999999989</v>
      </c>
      <c r="G7" s="18">
        <v>0.28265676948826618</v>
      </c>
      <c r="H7" s="18">
        <v>0.39639553331281563</v>
      </c>
      <c r="I7" s="18">
        <v>0.22048372041357217</v>
      </c>
      <c r="J7" s="18">
        <v>9.4471940726204753E-2</v>
      </c>
      <c r="K7" s="18">
        <v>0.3425181282178677</v>
      </c>
    </row>
    <row r="8" spans="1:11" x14ac:dyDescent="0.4">
      <c r="A8" s="13" t="s">
        <v>44</v>
      </c>
      <c r="B8" s="18">
        <v>0.29201418929901474</v>
      </c>
      <c r="C8" s="18">
        <v>0.30778563620839289</v>
      </c>
      <c r="D8" s="18">
        <v>0.36917524699711818</v>
      </c>
      <c r="E8" s="18">
        <v>0.24164777190058784</v>
      </c>
      <c r="F8" s="18">
        <v>0.28265676948826618</v>
      </c>
      <c r="G8" s="18">
        <v>1.0000000000000002</v>
      </c>
      <c r="H8" s="18">
        <v>0.48463114766803417</v>
      </c>
      <c r="I8" s="18">
        <v>0.45593981089294516</v>
      </c>
      <c r="J8" s="18">
        <v>0.34868318104022544</v>
      </c>
      <c r="K8" s="18">
        <v>0.12341234853797718</v>
      </c>
    </row>
    <row r="9" spans="1:11" x14ac:dyDescent="0.4">
      <c r="A9" s="13" t="s">
        <v>45</v>
      </c>
      <c r="B9" s="18">
        <v>0.40638115019448079</v>
      </c>
      <c r="C9" s="18">
        <v>0.59044832800458269</v>
      </c>
      <c r="D9" s="18">
        <v>0.56594345333112683</v>
      </c>
      <c r="E9" s="18">
        <v>0.53116895416628096</v>
      </c>
      <c r="F9" s="18">
        <v>0.39639553331281563</v>
      </c>
      <c r="G9" s="18">
        <v>0.48463114766803417</v>
      </c>
      <c r="H9" s="18">
        <v>0.99999999999999989</v>
      </c>
      <c r="I9" s="18">
        <v>0.74609655492387184</v>
      </c>
      <c r="J9" s="18">
        <v>0.58418760189456098</v>
      </c>
      <c r="K9" s="18">
        <v>0.39264598432087572</v>
      </c>
    </row>
    <row r="10" spans="1:11" x14ac:dyDescent="0.4">
      <c r="A10" s="13" t="s">
        <v>46</v>
      </c>
      <c r="B10" s="18">
        <v>0.35059720840536679</v>
      </c>
      <c r="C10" s="18">
        <v>0.45556813069809426</v>
      </c>
      <c r="D10" s="18">
        <v>0.41029487243238022</v>
      </c>
      <c r="E10" s="18">
        <v>0.50504592707452933</v>
      </c>
      <c r="F10" s="18">
        <v>0.22048372041357217</v>
      </c>
      <c r="G10" s="18">
        <v>0.45593981089294516</v>
      </c>
      <c r="H10" s="18">
        <v>0.74609655492387184</v>
      </c>
      <c r="I10" s="18">
        <v>1</v>
      </c>
      <c r="J10" s="18">
        <v>0.63276944412508995</v>
      </c>
      <c r="K10" s="18">
        <v>0.17226632280155599</v>
      </c>
    </row>
    <row r="11" spans="1:11" x14ac:dyDescent="0.4">
      <c r="A11" s="13" t="s">
        <v>47</v>
      </c>
      <c r="B11" s="18">
        <v>0.54111235339707808</v>
      </c>
      <c r="C11" s="18">
        <v>0.3491291501340506</v>
      </c>
      <c r="D11" s="18">
        <v>0.36018621309174897</v>
      </c>
      <c r="E11" s="18">
        <v>0.3542160815406743</v>
      </c>
      <c r="F11" s="18">
        <v>9.4471940726204753E-2</v>
      </c>
      <c r="G11" s="18">
        <v>0.34868318104022544</v>
      </c>
      <c r="H11" s="18">
        <v>0.58418760189456098</v>
      </c>
      <c r="I11" s="18">
        <v>0.63276944412508995</v>
      </c>
      <c r="J11" s="18">
        <v>1.0000000000000002</v>
      </c>
      <c r="K11" s="18">
        <v>0.34349737061966795</v>
      </c>
    </row>
    <row r="12" spans="1:11" x14ac:dyDescent="0.4">
      <c r="A12" s="13" t="s">
        <v>48</v>
      </c>
      <c r="B12" s="18">
        <v>0.47412921470705033</v>
      </c>
      <c r="C12" s="18">
        <v>0.43610024553773946</v>
      </c>
      <c r="D12" s="18">
        <v>0.46204060872259045</v>
      </c>
      <c r="E12" s="18">
        <v>0.35812724925983669</v>
      </c>
      <c r="F12" s="18">
        <v>0.3425181282178677</v>
      </c>
      <c r="G12" s="18">
        <v>0.12341234853797718</v>
      </c>
      <c r="H12" s="18">
        <v>0.39264598432087572</v>
      </c>
      <c r="I12" s="18">
        <v>0.17226632280155599</v>
      </c>
      <c r="J12" s="18">
        <v>0.34349737061966795</v>
      </c>
      <c r="K12" s="18">
        <v>1.0000000000000002</v>
      </c>
    </row>
    <row r="13" spans="1:11" x14ac:dyDescent="0.4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</row>
    <row r="14" spans="1:11" x14ac:dyDescent="0.4">
      <c r="D14" t="str">
        <f ca="1">_xlfn.FORMULATEXT(D12)</f>
        <v>{=CorrMatrix(Sheet9!B4:K63)}</v>
      </c>
    </row>
  </sheetData>
  <mergeCells count="1">
    <mergeCell ref="A1:K1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FCACA-0674-4B39-AE92-2C0DB5F8FF26}">
  <sheetPr codeName="Sheet12"/>
  <dimension ref="A1:E9"/>
  <sheetViews>
    <sheetView workbookViewId="0">
      <selection activeCell="I23" sqref="I23"/>
    </sheetView>
  </sheetViews>
  <sheetFormatPr defaultRowHeight="13.9" x14ac:dyDescent="0.4"/>
  <sheetData>
    <row r="1" spans="1:5" x14ac:dyDescent="0.4">
      <c r="A1" cm="1">
        <f t="array" ref="A1:A5">UnitColVector(5)</f>
        <v>1</v>
      </c>
      <c r="B1" t="str">
        <f ca="1">_xlfn.FORMULATEXT(A1)</f>
        <v>=UnitColVector(5)</v>
      </c>
    </row>
    <row r="2" spans="1:5" x14ac:dyDescent="0.4">
      <c r="A2">
        <v>1</v>
      </c>
    </row>
    <row r="3" spans="1:5" x14ac:dyDescent="0.4">
      <c r="A3">
        <v>1</v>
      </c>
    </row>
    <row r="4" spans="1:5" x14ac:dyDescent="0.4">
      <c r="A4">
        <v>1</v>
      </c>
    </row>
    <row r="5" spans="1:5" x14ac:dyDescent="0.4">
      <c r="A5">
        <v>1</v>
      </c>
    </row>
    <row r="8" spans="1:5" x14ac:dyDescent="0.4">
      <c r="A8" cm="1">
        <f t="array" ref="A8:E8">UnitrowVector(5)</f>
        <v>1</v>
      </c>
      <c r="B8">
        <v>1</v>
      </c>
      <c r="C8">
        <v>1</v>
      </c>
      <c r="D8">
        <v>1</v>
      </c>
      <c r="E8">
        <v>1</v>
      </c>
    </row>
    <row r="9" spans="1:5" x14ac:dyDescent="0.4">
      <c r="A9" t="str">
        <f ca="1">_xlfn.FORMULATEXT(A8)</f>
        <v>=UnitrowVector(5)</v>
      </c>
    </row>
  </sheetData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8EDC0-DFBC-44C4-9E4B-CC8743A666B4}">
  <sheetPr codeName="Sheet13"/>
  <dimension ref="A1:O28"/>
  <sheetViews>
    <sheetView workbookViewId="0">
      <selection activeCell="G31" sqref="G31"/>
    </sheetView>
  </sheetViews>
  <sheetFormatPr defaultRowHeight="13.9" x14ac:dyDescent="0.4"/>
  <sheetData>
    <row r="1" spans="1:15" ht="17.649999999999999" x14ac:dyDescent="0.5">
      <c r="A1" s="30" t="s">
        <v>53</v>
      </c>
      <c r="B1" s="30"/>
      <c r="C1" s="30"/>
      <c r="D1" s="30"/>
      <c r="E1" s="30"/>
      <c r="F1" s="30"/>
      <c r="G1" s="30"/>
      <c r="H1" s="30"/>
      <c r="I1" s="30"/>
      <c r="J1" s="30"/>
      <c r="K1" s="30"/>
    </row>
    <row r="2" spans="1:15" x14ac:dyDescent="0.4">
      <c r="A2" s="17"/>
      <c r="B2" s="13" t="str">
        <f>'[1]Page 847, bottom'!B2</f>
        <v>MCD</v>
      </c>
      <c r="C2" s="13" t="str">
        <f>'[1]Page 847, bottom'!C2</f>
        <v>X</v>
      </c>
      <c r="D2" s="13" t="str">
        <f>'[1]Page 847, bottom'!D2</f>
        <v>MT</v>
      </c>
      <c r="E2" s="13" t="str">
        <f>'[1]Page 847, bottom'!E2</f>
        <v>MSFT</v>
      </c>
      <c r="F2" s="13" t="str">
        <f>'[1]Page 847, bottom'!F2</f>
        <v>AAPL</v>
      </c>
      <c r="G2" s="13" t="str">
        <f>'[1]Page 847, bottom'!G2</f>
        <v>K</v>
      </c>
      <c r="H2" s="13" t="str">
        <f>'[1]Page 847, bottom'!H2</f>
        <v>GE</v>
      </c>
      <c r="I2" s="13" t="str">
        <f>'[1]Page 847, bottom'!I2</f>
        <v>BAC</v>
      </c>
      <c r="J2" s="13" t="str">
        <f>'[1]Page 847, bottom'!J2</f>
        <v>PFE</v>
      </c>
      <c r="K2" s="13" t="str">
        <f>'[1]Page 847, bottom'!K2</f>
        <v>XOM</v>
      </c>
    </row>
    <row r="3" spans="1:15" x14ac:dyDescent="0.4">
      <c r="A3" s="19" t="str">
        <f>'[1]Page 847, bottom'!A3</f>
        <v>MCD</v>
      </c>
      <c r="B3" s="18">
        <f>Sheet10!B3</f>
        <v>2.014669301787638E-3</v>
      </c>
      <c r="C3" s="18">
        <f>Sheet10!C3</f>
        <v>3.6761006425108608E-3</v>
      </c>
      <c r="D3" s="18">
        <f>Sheet10!D3</f>
        <v>2.8326517183395786E-3</v>
      </c>
      <c r="E3" s="18">
        <f>Sheet10!E3</f>
        <v>1.5068893102727231E-3</v>
      </c>
      <c r="F3" s="18">
        <f>Sheet10!F3</f>
        <v>1.7012049789817761E-3</v>
      </c>
      <c r="G3" s="18">
        <f>Sheet10!G3</f>
        <v>6.7418965384680391E-4</v>
      </c>
      <c r="H3" s="18">
        <f>Sheet10!H3</f>
        <v>2.0130817978212482E-3</v>
      </c>
      <c r="I3" s="18">
        <f>Sheet10!I3</f>
        <v>3.1195764017999156E-3</v>
      </c>
      <c r="J3" s="18">
        <f>Sheet10!J3</f>
        <v>1.54660491920409E-3</v>
      </c>
      <c r="K3" s="18">
        <f>Sheet10!K3</f>
        <v>1.0873395807910959E-3</v>
      </c>
      <c r="N3" cm="1">
        <f t="array" ref="N3:N12">MMULT(B3:K12,UnitColVector(10))</f>
        <v>2.017230830535573E-2</v>
      </c>
      <c r="O3" t="str">
        <f ca="1">_xlfn.FORMULATEXT(N3)</f>
        <v>=MMULT(B3:K12,UnitColVector(10))</v>
      </c>
    </row>
    <row r="4" spans="1:15" x14ac:dyDescent="0.4">
      <c r="A4" s="19" t="str">
        <f>'[1]Page 847, bottom'!A4</f>
        <v>X</v>
      </c>
      <c r="B4" s="18">
        <f>Sheet10!B4</f>
        <v>3.6761006425108608E-3</v>
      </c>
      <c r="C4" s="18">
        <f>Sheet10!C4</f>
        <v>3.8041039892533039E-2</v>
      </c>
      <c r="D4" s="18">
        <f>Sheet10!D4</f>
        <v>2.8381912395997088E-2</v>
      </c>
      <c r="E4" s="18">
        <f>Sheet10!E4</f>
        <v>7.5670881946833168E-3</v>
      </c>
      <c r="F4" s="18">
        <f>Sheet10!F4</f>
        <v>1.1072669466248693E-2</v>
      </c>
      <c r="G4" s="18">
        <f>Sheet10!G4</f>
        <v>3.0878115163005758E-3</v>
      </c>
      <c r="H4" s="18">
        <f>Sheet10!H4</f>
        <v>1.2709664004660819E-2</v>
      </c>
      <c r="I4" s="18">
        <f>Sheet10!I4</f>
        <v>1.7614276675809941E-2</v>
      </c>
      <c r="J4" s="18">
        <f>Sheet10!J4</f>
        <v>4.3361306101261749E-3</v>
      </c>
      <c r="K4" s="18">
        <f>Sheet10!K4</f>
        <v>4.3458938851077353E-3</v>
      </c>
      <c r="N4">
        <v>0.13083258728397823</v>
      </c>
    </row>
    <row r="5" spans="1:15" x14ac:dyDescent="0.4">
      <c r="A5" s="19" t="str">
        <f>'[1]Page 847, bottom'!A5</f>
        <v>MT</v>
      </c>
      <c r="B5" s="18">
        <f>Sheet10!B5</f>
        <v>2.8326517183395786E-3</v>
      </c>
      <c r="C5" s="18">
        <f>Sheet10!C5</f>
        <v>2.8381912395997088E-2</v>
      </c>
      <c r="D5" s="18">
        <f>Sheet10!D5</f>
        <v>2.6744902953830467E-2</v>
      </c>
      <c r="E5" s="18">
        <f>Sheet10!E5</f>
        <v>6.5337988947746306E-3</v>
      </c>
      <c r="F5" s="18">
        <f>Sheet10!F5</f>
        <v>9.6784287201410885E-3</v>
      </c>
      <c r="G5" s="18">
        <f>Sheet10!G5</f>
        <v>3.1054842537313388E-3</v>
      </c>
      <c r="H5" s="18">
        <f>Sheet10!H5</f>
        <v>1.0214556993614326E-2</v>
      </c>
      <c r="I5" s="18">
        <f>Sheet10!I5</f>
        <v>1.3301538961550181E-2</v>
      </c>
      <c r="J5" s="18">
        <f>Sheet10!J5</f>
        <v>3.7509187105394027E-3</v>
      </c>
      <c r="K5" s="18">
        <f>Sheet10!K5</f>
        <v>3.8607106799444599E-3</v>
      </c>
      <c r="N5">
        <v>0.10840490428246256</v>
      </c>
    </row>
    <row r="6" spans="1:15" x14ac:dyDescent="0.4">
      <c r="A6" s="19" t="str">
        <f>'[1]Page 847, bottom'!A6</f>
        <v>MSFT</v>
      </c>
      <c r="B6" s="18">
        <f>Sheet10!B6</f>
        <v>1.5068893102727231E-3</v>
      </c>
      <c r="C6" s="18">
        <f>Sheet10!C6</f>
        <v>7.5670881946833168E-3</v>
      </c>
      <c r="D6" s="18">
        <f>Sheet10!D6</f>
        <v>6.5337988947746306E-3</v>
      </c>
      <c r="E6" s="18">
        <f>Sheet10!E6</f>
        <v>6.2740718870916579E-3</v>
      </c>
      <c r="F6" s="18">
        <f>Sheet10!F6</f>
        <v>4.8837758375691919E-3</v>
      </c>
      <c r="G6" s="18">
        <f>Sheet10!G6</f>
        <v>9.8454095020270482E-4</v>
      </c>
      <c r="H6" s="18">
        <f>Sheet10!H6</f>
        <v>4.6433712806725445E-3</v>
      </c>
      <c r="I6" s="18">
        <f>Sheet10!I6</f>
        <v>7.930323550516748E-3</v>
      </c>
      <c r="J6" s="18">
        <f>Sheet10!J6</f>
        <v>1.7866236292419595E-3</v>
      </c>
      <c r="K6" s="18">
        <f>Sheet10!K6</f>
        <v>1.4493681340557922E-3</v>
      </c>
      <c r="N6">
        <v>4.3559851669081259E-2</v>
      </c>
    </row>
    <row r="7" spans="1:15" x14ac:dyDescent="0.4">
      <c r="A7" s="19" t="str">
        <f>'[1]Page 847, bottom'!A7</f>
        <v>AAPL</v>
      </c>
      <c r="B7" s="18">
        <f>Sheet10!B7</f>
        <v>1.7012049789817761E-3</v>
      </c>
      <c r="C7" s="18">
        <f>Sheet10!C7</f>
        <v>1.1072669466248693E-2</v>
      </c>
      <c r="D7" s="18">
        <f>Sheet10!D7</f>
        <v>9.6784287201410885E-3</v>
      </c>
      <c r="E7" s="18">
        <f>Sheet10!E7</f>
        <v>4.8837758375691919E-3</v>
      </c>
      <c r="F7" s="18">
        <f>Sheet10!F7</f>
        <v>1.2578638001137338E-2</v>
      </c>
      <c r="G7" s="18">
        <f>Sheet10!G7</f>
        <v>1.6306187981742399E-3</v>
      </c>
      <c r="H7" s="18">
        <f>Sheet10!H7</f>
        <v>4.906497069694679E-3</v>
      </c>
      <c r="I7" s="18">
        <f>Sheet10!I7</f>
        <v>4.9020600396291599E-3</v>
      </c>
      <c r="J7" s="18">
        <f>Sheet10!J7</f>
        <v>6.7469843124149493E-4</v>
      </c>
      <c r="K7" s="18">
        <f>Sheet10!K7</f>
        <v>1.9627589568928503E-3</v>
      </c>
      <c r="N7">
        <v>5.3991350299710514E-2</v>
      </c>
    </row>
    <row r="8" spans="1:15" x14ac:dyDescent="0.4">
      <c r="A8" s="19" t="str">
        <f>'[1]Page 847, bottom'!A8</f>
        <v>K</v>
      </c>
      <c r="B8" s="18">
        <f>Sheet10!B8</f>
        <v>6.7418965384680391E-4</v>
      </c>
      <c r="C8" s="18">
        <f>Sheet10!C8</f>
        <v>3.0878115163005758E-3</v>
      </c>
      <c r="D8" s="18">
        <f>Sheet10!D8</f>
        <v>3.1054842537313388E-3</v>
      </c>
      <c r="E8" s="18">
        <f>Sheet10!E8</f>
        <v>9.8454095020270482E-4</v>
      </c>
      <c r="F8" s="18">
        <f>Sheet10!F8</f>
        <v>1.6306187981742399E-3</v>
      </c>
      <c r="G8" s="18">
        <f>Sheet10!G8</f>
        <v>2.6457724409858102E-3</v>
      </c>
      <c r="H8" s="18">
        <f>Sheet10!H8</f>
        <v>2.7511454375960952E-3</v>
      </c>
      <c r="I8" s="18">
        <f>Sheet10!I8</f>
        <v>4.6491017065433031E-3</v>
      </c>
      <c r="J8" s="18">
        <f>Sheet10!J8</f>
        <v>1.1420820280496065E-3</v>
      </c>
      <c r="K8" s="18">
        <f>Sheet10!K8</f>
        <v>3.2434070598800769E-4</v>
      </c>
      <c r="N8">
        <v>2.0995087491418485E-2</v>
      </c>
    </row>
    <row r="9" spans="1:15" x14ac:dyDescent="0.4">
      <c r="A9" s="19" t="str">
        <f>'[1]Page 847, bottom'!A9</f>
        <v>GE</v>
      </c>
      <c r="B9" s="18">
        <f>Sheet10!B9</f>
        <v>2.0130817978212482E-3</v>
      </c>
      <c r="C9" s="18">
        <f>Sheet10!C9</f>
        <v>1.2709664004660819E-2</v>
      </c>
      <c r="D9" s="18">
        <f>Sheet10!D9</f>
        <v>1.0214556993614326E-2</v>
      </c>
      <c r="E9" s="18">
        <f>Sheet10!E9</f>
        <v>4.6433712806725445E-3</v>
      </c>
      <c r="F9" s="18">
        <f>Sheet10!F9</f>
        <v>4.906497069694679E-3</v>
      </c>
      <c r="G9" s="18">
        <f>Sheet10!G9</f>
        <v>2.7511454375960952E-3</v>
      </c>
      <c r="H9" s="18">
        <f>Sheet10!H9</f>
        <v>1.2180131150308996E-2</v>
      </c>
      <c r="I9" s="18">
        <f>Sheet10!I9</f>
        <v>1.632323770989718E-2</v>
      </c>
      <c r="J9" s="18">
        <f>Sheet10!J9</f>
        <v>4.1055218889163676E-3</v>
      </c>
      <c r="K9" s="18">
        <f>Sheet10!K9</f>
        <v>2.2140821923514668E-3</v>
      </c>
      <c r="N9">
        <v>7.2061289525533728E-2</v>
      </c>
    </row>
    <row r="10" spans="1:15" x14ac:dyDescent="0.4">
      <c r="A10" s="19" t="str">
        <f>'[1]Page 847, bottom'!A10</f>
        <v>BAC</v>
      </c>
      <c r="B10" s="18">
        <f>Sheet10!B10</f>
        <v>3.1195764017999156E-3</v>
      </c>
      <c r="C10" s="18">
        <f>Sheet10!C10</f>
        <v>1.7614276675809941E-2</v>
      </c>
      <c r="D10" s="18">
        <f>Sheet10!D10</f>
        <v>1.3301538961550181E-2</v>
      </c>
      <c r="E10" s="18">
        <f>Sheet10!E10</f>
        <v>7.930323550516748E-3</v>
      </c>
      <c r="F10" s="18">
        <f>Sheet10!F10</f>
        <v>4.9020600396291599E-3</v>
      </c>
      <c r="G10" s="18">
        <f>Sheet10!G10</f>
        <v>4.6491017065433031E-3</v>
      </c>
      <c r="H10" s="18">
        <f>Sheet10!H10</f>
        <v>1.632323770989718E-2</v>
      </c>
      <c r="I10" s="18">
        <f>Sheet10!I10</f>
        <v>3.9298011589700907E-2</v>
      </c>
      <c r="J10" s="18">
        <f>Sheet10!J10</f>
        <v>7.9876833727869634E-3</v>
      </c>
      <c r="K10" s="18">
        <f>Sheet10!K10</f>
        <v>1.744826578120965E-3</v>
      </c>
      <c r="N10">
        <v>0.11687063658635526</v>
      </c>
    </row>
    <row r="11" spans="1:15" x14ac:dyDescent="0.4">
      <c r="A11" s="19" t="str">
        <f>'[1]Page 847, bottom'!A11</f>
        <v>PFE</v>
      </c>
      <c r="B11" s="18">
        <f>Sheet10!B11</f>
        <v>1.54660491920409E-3</v>
      </c>
      <c r="C11" s="18">
        <f>Sheet10!C11</f>
        <v>4.3361306101261749E-3</v>
      </c>
      <c r="D11" s="18">
        <f>Sheet10!D11</f>
        <v>3.7509187105394027E-3</v>
      </c>
      <c r="E11" s="18">
        <f>Sheet10!E11</f>
        <v>1.7866236292419595E-3</v>
      </c>
      <c r="F11" s="18">
        <f>Sheet10!F11</f>
        <v>6.7469843124149493E-4</v>
      </c>
      <c r="G11" s="18">
        <f>Sheet10!G11</f>
        <v>1.1420820280496065E-3</v>
      </c>
      <c r="H11" s="18">
        <f>Sheet10!H11</f>
        <v>4.1055218889163676E-3</v>
      </c>
      <c r="I11" s="18">
        <f>Sheet10!I11</f>
        <v>7.9876833727869634E-3</v>
      </c>
      <c r="J11" s="18">
        <f>Sheet10!J11</f>
        <v>4.0548996208899868E-3</v>
      </c>
      <c r="K11" s="18">
        <f>Sheet10!K11</f>
        <v>1.1175837215407188E-3</v>
      </c>
      <c r="N11">
        <v>3.0502746932536764E-2</v>
      </c>
    </row>
    <row r="12" spans="1:15" x14ac:dyDescent="0.4">
      <c r="A12" s="19" t="str">
        <f>'[1]Page 847, bottom'!A12</f>
        <v>XOM</v>
      </c>
      <c r="B12" s="18">
        <f>Sheet10!B12</f>
        <v>1.0873395807910959E-3</v>
      </c>
      <c r="C12" s="18">
        <f>Sheet10!C12</f>
        <v>4.3458938851077353E-3</v>
      </c>
      <c r="D12" s="18">
        <f>Sheet10!D12</f>
        <v>3.8607106799444599E-3</v>
      </c>
      <c r="E12" s="18">
        <f>Sheet10!E12</f>
        <v>1.4493681340557922E-3</v>
      </c>
      <c r="F12" s="18">
        <f>Sheet10!F12</f>
        <v>1.9627589568928503E-3</v>
      </c>
      <c r="G12" s="18">
        <f>Sheet10!G12</f>
        <v>3.2434070598800769E-4</v>
      </c>
      <c r="H12" s="18">
        <f>Sheet10!H12</f>
        <v>2.2140821923514668E-3</v>
      </c>
      <c r="I12" s="18">
        <f>Sheet10!I12</f>
        <v>1.744826578120965E-3</v>
      </c>
      <c r="J12" s="18">
        <f>Sheet10!J12</f>
        <v>1.1175837215407188E-3</v>
      </c>
      <c r="K12" s="18">
        <f>Sheet10!K12</f>
        <v>2.6105570764078955E-3</v>
      </c>
      <c r="N12">
        <v>2.0717461511200987E-2</v>
      </c>
    </row>
    <row r="13" spans="1:15" x14ac:dyDescent="0.4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</row>
    <row r="14" spans="1:15" ht="15" x14ac:dyDescent="0.4">
      <c r="A14" s="31" t="s">
        <v>54</v>
      </c>
      <c r="B14" s="31"/>
      <c r="C14" s="31"/>
      <c r="D14" s="31"/>
      <c r="E14" s="31"/>
      <c r="F14" s="31"/>
      <c r="G14" s="31"/>
      <c r="H14" s="31"/>
      <c r="I14" s="31"/>
      <c r="J14" s="31"/>
      <c r="K14" s="31"/>
    </row>
    <row r="15" spans="1:15" x14ac:dyDescent="0.4">
      <c r="A15" s="19" t="s">
        <v>39</v>
      </c>
      <c r="B15" s="20" cm="1">
        <f t="array" ref="B15:B24">MMULT(B3:K12,UnitColVector(10))/SUM(MMULT(B3:K12,UnitColVector(10)))</f>
        <v>3.2635560450046487E-2</v>
      </c>
      <c r="C15" s="17" t="str">
        <f ca="1">_xlfn.FORMULATEXT(B15)</f>
        <v>=MMULT(B3:K12,UnitColVector(10))/SUM(MMULT(B3:K12,UnitColVector(10)))</v>
      </c>
      <c r="D15" s="17"/>
      <c r="E15" s="17"/>
      <c r="F15" s="17"/>
      <c r="G15" s="17"/>
      <c r="H15" s="17"/>
      <c r="I15" s="17"/>
      <c r="J15" s="17"/>
      <c r="K15" s="17"/>
    </row>
    <row r="16" spans="1:15" x14ac:dyDescent="0.4">
      <c r="A16" s="19" t="s">
        <v>40</v>
      </c>
      <c r="B16" s="20">
        <v>0.2116661487871781</v>
      </c>
      <c r="C16" s="17"/>
      <c r="D16" s="17"/>
      <c r="E16" s="17"/>
      <c r="F16" s="17"/>
      <c r="G16" s="17"/>
      <c r="H16" s="17"/>
      <c r="I16" s="17"/>
      <c r="J16" s="17"/>
      <c r="K16" s="17"/>
    </row>
    <row r="17" spans="1:11" x14ac:dyDescent="0.4">
      <c r="A17" s="19" t="s">
        <v>41</v>
      </c>
      <c r="B17" s="20">
        <v>0.17538175370106318</v>
      </c>
      <c r="C17" s="17"/>
      <c r="D17" s="17"/>
      <c r="E17" s="17"/>
      <c r="F17" s="17"/>
      <c r="G17" s="17"/>
      <c r="H17" s="17"/>
      <c r="I17" s="17"/>
      <c r="J17" s="17"/>
      <c r="K17" s="17"/>
    </row>
    <row r="18" spans="1:11" x14ac:dyDescent="0.4">
      <c r="A18" s="19" t="s">
        <v>42</v>
      </c>
      <c r="B18" s="20">
        <v>7.0472855700104781E-2</v>
      </c>
      <c r="C18" s="17"/>
      <c r="D18" s="17"/>
      <c r="E18" s="17"/>
      <c r="F18" s="17"/>
      <c r="G18" s="17"/>
      <c r="H18" s="17"/>
      <c r="I18" s="17"/>
      <c r="J18" s="17"/>
      <c r="K18" s="17"/>
    </row>
    <row r="19" spans="1:11" x14ac:dyDescent="0.4">
      <c r="A19" s="19" t="s">
        <v>43</v>
      </c>
      <c r="B19" s="20">
        <v>8.7349347918602771E-2</v>
      </c>
      <c r="C19" s="17"/>
      <c r="D19" s="17"/>
      <c r="E19" s="17"/>
      <c r="F19" s="17"/>
      <c r="G19" s="17"/>
      <c r="H19" s="17"/>
      <c r="I19" s="17"/>
      <c r="J19" s="17"/>
      <c r="K19" s="17"/>
    </row>
    <row r="20" spans="1:11" x14ac:dyDescent="0.4">
      <c r="A20" s="19" t="s">
        <v>44</v>
      </c>
      <c r="B20" s="20">
        <v>3.3966685250308527E-2</v>
      </c>
      <c r="C20" s="17"/>
      <c r="D20" s="17"/>
      <c r="E20" s="17"/>
      <c r="F20" s="17"/>
      <c r="G20" s="17"/>
      <c r="H20" s="17"/>
      <c r="I20" s="17"/>
      <c r="J20" s="17"/>
      <c r="K20" s="17"/>
    </row>
    <row r="21" spans="1:11" x14ac:dyDescent="0.4">
      <c r="A21" s="19" t="s">
        <v>45</v>
      </c>
      <c r="B21" s="20">
        <v>0.11658361228766602</v>
      </c>
      <c r="C21" s="17"/>
      <c r="D21" s="17"/>
      <c r="E21" s="17"/>
      <c r="F21" s="17"/>
      <c r="G21" s="17"/>
      <c r="H21" s="17"/>
      <c r="I21" s="17"/>
      <c r="J21" s="17"/>
      <c r="K21" s="17"/>
    </row>
    <row r="22" spans="1:11" x14ac:dyDescent="0.4">
      <c r="A22" s="19" t="s">
        <v>46</v>
      </c>
      <c r="B22" s="20">
        <v>0.18907795118998655</v>
      </c>
      <c r="C22" s="17"/>
      <c r="D22" s="17"/>
      <c r="E22" s="17"/>
      <c r="F22" s="17"/>
      <c r="G22" s="17"/>
      <c r="H22" s="17"/>
      <c r="I22" s="17"/>
      <c r="J22" s="17"/>
      <c r="K22" s="17"/>
    </row>
    <row r="23" spans="1:11" x14ac:dyDescent="0.4">
      <c r="A23" s="19" t="s">
        <v>47</v>
      </c>
      <c r="B23" s="20">
        <v>4.9348553786726326E-2</v>
      </c>
      <c r="C23" s="17"/>
      <c r="D23" s="17"/>
      <c r="E23" s="17"/>
      <c r="F23" s="17"/>
      <c r="G23" s="17"/>
      <c r="H23" s="17"/>
      <c r="I23" s="17"/>
      <c r="J23" s="17"/>
      <c r="K23" s="17"/>
    </row>
    <row r="24" spans="1:11" x14ac:dyDescent="0.4">
      <c r="A24" s="19" t="s">
        <v>48</v>
      </c>
      <c r="B24" s="20">
        <v>3.3517530928317232E-2</v>
      </c>
      <c r="C24" s="17"/>
      <c r="D24" s="17"/>
      <c r="E24" s="17"/>
      <c r="F24" s="17"/>
      <c r="G24" s="17"/>
      <c r="H24" s="17"/>
      <c r="I24" s="17"/>
      <c r="J24" s="17"/>
      <c r="K24" s="17"/>
    </row>
    <row r="25" spans="1:11" x14ac:dyDescent="0.4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</row>
    <row r="26" spans="1:11" x14ac:dyDescent="0.4">
      <c r="A26" s="17"/>
      <c r="B26" s="13" t="s">
        <v>39</v>
      </c>
      <c r="C26" s="13" t="s">
        <v>40</v>
      </c>
      <c r="D26" s="13" t="s">
        <v>41</v>
      </c>
      <c r="E26" s="13" t="s">
        <v>42</v>
      </c>
      <c r="F26" s="13" t="s">
        <v>43</v>
      </c>
      <c r="G26" s="13" t="s">
        <v>44</v>
      </c>
      <c r="H26" s="13" t="s">
        <v>45</v>
      </c>
      <c r="I26" s="13" t="s">
        <v>46</v>
      </c>
      <c r="J26" s="13" t="s">
        <v>47</v>
      </c>
      <c r="K26" s="13" t="s">
        <v>48</v>
      </c>
    </row>
    <row r="27" spans="1:11" x14ac:dyDescent="0.4">
      <c r="A27" s="17"/>
      <c r="B27" s="20" cm="1">
        <f t="array" ref="B27:K27">MMULT(UnitrowVector(10),B3:K12)/SUM(MMULT(UnitrowVector(10),B3:K12))</f>
        <v>3.2635560450046487E-2</v>
      </c>
      <c r="C27" s="20">
        <v>0.2116661487871781</v>
      </c>
      <c r="D27" s="20">
        <v>0.17538175370106318</v>
      </c>
      <c r="E27" s="20">
        <v>7.0472855700104781E-2</v>
      </c>
      <c r="F27" s="20">
        <v>8.7349347918602771E-2</v>
      </c>
      <c r="G27" s="20">
        <v>3.3966685250308527E-2</v>
      </c>
      <c r="H27" s="20">
        <v>0.11658361228766602</v>
      </c>
      <c r="I27" s="20">
        <v>0.18907795118998655</v>
      </c>
      <c r="J27" s="20">
        <v>4.9348553786726326E-2</v>
      </c>
      <c r="K27" s="20">
        <v>3.3517530928317232E-2</v>
      </c>
    </row>
    <row r="28" spans="1:11" x14ac:dyDescent="0.4">
      <c r="B28" t="str">
        <f ca="1">_xlfn.FORMULATEXT(B27)</f>
        <v>=MMULT(UnitrowVector(10),B3:K12)/SUM(MMULT(UnitrowVector(10),B3:K12))</v>
      </c>
    </row>
  </sheetData>
  <mergeCells count="2">
    <mergeCell ref="A1:K1"/>
    <mergeCell ref="A14:K14"/>
  </mergeCells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杰 孙</cp:lastModifiedBy>
  <dcterms:created xsi:type="dcterms:W3CDTF">2025-05-07T14:05:48Z</dcterms:created>
  <dcterms:modified xsi:type="dcterms:W3CDTF">2025-05-13T07:20:22Z</dcterms:modified>
</cp:coreProperties>
</file>